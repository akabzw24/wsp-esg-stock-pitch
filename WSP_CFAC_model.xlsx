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rianwang/Desktop/CFAC Stock Pitch Case Competition/"/>
    </mc:Choice>
  </mc:AlternateContent>
  <xr:revisionPtr revIDLastSave="0" documentId="13_ncr:1_{C3220A51-0619-4E4A-B918-B33DFF27CA0B}" xr6:coauthVersionLast="47" xr6:coauthVersionMax="47" xr10:uidLastSave="{00000000-0000-0000-0000-000000000000}"/>
  <bookViews>
    <workbookView xWindow="0" yWindow="500" windowWidth="28800" windowHeight="16460" activeTab="3" xr2:uid="{00000000-000D-0000-FFFF-FFFF00000000}"/>
  </bookViews>
  <sheets>
    <sheet name="README" sheetId="1" r:id="rId1"/>
    <sheet name="History" sheetId="2" r:id="rId2"/>
    <sheet name="Forecast" sheetId="3" r:id="rId3"/>
    <sheet name="DCF" sheetId="4" r:id="rId4"/>
    <sheet name="Comparable Company Valuation" sheetId="5" r:id="rId5"/>
  </sheets>
  <definedNames>
    <definedName name="_xlchart.v1.0" hidden="1">DCF!$H$57:$H$62</definedName>
    <definedName name="_xlchart.v1.1" hidden="1">DCF!$I$56</definedName>
    <definedName name="_xlchart.v1.10" hidden="1">DCF!$I$57:$I$62</definedName>
    <definedName name="_xlchart.v1.11" hidden="1">DCF!$J$57:$J$62</definedName>
    <definedName name="_xlchart.v1.12" hidden="1">DCF!$H$57:$H$62</definedName>
    <definedName name="_xlchart.v1.13" hidden="1">DCF!$H$57:$H$62</definedName>
    <definedName name="_xlchart.v1.14" hidden="1">DCF!$I$56</definedName>
    <definedName name="_xlchart.v1.15" hidden="1">DCF!$I$56</definedName>
    <definedName name="_xlchart.v1.16" hidden="1">DCF!$I$57:$I$62</definedName>
    <definedName name="_xlchart.v1.17" hidden="1">DCF!$I$57:$I$62</definedName>
    <definedName name="_xlchart.v1.18" hidden="1">DCF!$H$57:$H$62</definedName>
    <definedName name="_xlchart.v1.19" hidden="1">DCF!$H$57:$H$62</definedName>
    <definedName name="_xlchart.v1.2" hidden="1">DCF!$I$57:$I$62</definedName>
    <definedName name="_xlchart.v1.20" hidden="1">DCF!$I$56</definedName>
    <definedName name="_xlchart.v1.21" hidden="1">DCF!$I$56</definedName>
    <definedName name="_xlchart.v1.22" hidden="1">DCF!$I$57:$I$62</definedName>
    <definedName name="_xlchart.v1.23" hidden="1">DCF!$I$57:$I$62</definedName>
    <definedName name="_xlchart.v1.24" hidden="1">DCF!$H$57:$H$62</definedName>
    <definedName name="_xlchart.v1.25" hidden="1">DCF!$H$57:$H$62</definedName>
    <definedName name="_xlchart.v1.26" hidden="1">DCF!$I$56</definedName>
    <definedName name="_xlchart.v1.27" hidden="1">DCF!$I$56</definedName>
    <definedName name="_xlchart.v1.28" hidden="1">DCF!$I$57:$I$62</definedName>
    <definedName name="_xlchart.v1.29" hidden="1">DCF!$I$57:$I$62</definedName>
    <definedName name="_xlchart.v1.3" hidden="1">DCF!$J$57:$J$62</definedName>
    <definedName name="_xlchart.v1.30" hidden="1">DCF!$H$57:$H$62</definedName>
    <definedName name="_xlchart.v1.31" hidden="1">DCF!$H$57:$H$62</definedName>
    <definedName name="_xlchart.v1.32" hidden="1">DCF!$I$56</definedName>
    <definedName name="_xlchart.v1.33" hidden="1">DCF!$I$56</definedName>
    <definedName name="_xlchart.v1.34" hidden="1">DCF!$I$57:$I$62</definedName>
    <definedName name="_xlchart.v1.35" hidden="1">DCF!$I$57:$I$62</definedName>
    <definedName name="_xlchart.v1.36" hidden="1">DCF!$H$57:$H$62</definedName>
    <definedName name="_xlchart.v1.37" hidden="1">DCF!$H$57:$H$62</definedName>
    <definedName name="_xlchart.v1.38" hidden="1">DCF!$I$56</definedName>
    <definedName name="_xlchart.v1.39" hidden="1">DCF!$I$56</definedName>
    <definedName name="_xlchart.v1.4" hidden="1">DCF!$H$57:$H$62</definedName>
    <definedName name="_xlchart.v1.40" hidden="1">DCF!$I$57:$I$62</definedName>
    <definedName name="_xlchart.v1.41" hidden="1">DCF!$I$57:$I$62</definedName>
    <definedName name="_xlchart.v1.42" hidden="1">DCF!$H$57:$H$62</definedName>
    <definedName name="_xlchart.v1.43" hidden="1">DCF!$I$56</definedName>
    <definedName name="_xlchart.v1.44" hidden="1">DCF!$I$57:$I$62</definedName>
    <definedName name="_xlchart.v1.45" hidden="1">DCF!$J$57:$J$62</definedName>
    <definedName name="_xlchart.v1.46" hidden="1">DCF!$A$17:$A$23</definedName>
    <definedName name="_xlchart.v1.47" hidden="1">DCF!$B$16</definedName>
    <definedName name="_xlchart.v1.48" hidden="1">DCF!$B$17:$B$23</definedName>
    <definedName name="_xlchart.v1.49" hidden="1">DCF!$C$16</definedName>
    <definedName name="_xlchart.v1.5" hidden="1">DCF!$I$56</definedName>
    <definedName name="_xlchart.v1.50" hidden="1">DCF!$C$17:$C$23</definedName>
    <definedName name="_xlchart.v1.51" hidden="1">DCF!$D$16</definedName>
    <definedName name="_xlchart.v1.52" hidden="1">DCF!$D$17:$D$23</definedName>
    <definedName name="_xlchart.v1.53" hidden="1">DCF!$H$57:$H$62</definedName>
    <definedName name="_xlchart.v1.54" hidden="1">DCF!$I$56</definedName>
    <definedName name="_xlchart.v1.55" hidden="1">DCF!$I$57:$I$62</definedName>
    <definedName name="_xlchart.v1.56" hidden="1">DCF!$J$57:$J$62</definedName>
    <definedName name="_xlchart.v1.57" hidden="1">DCF!$H$57:$H$62</definedName>
    <definedName name="_xlchart.v1.58" hidden="1">DCF!$H$57:$H$62</definedName>
    <definedName name="_xlchart.v1.59" hidden="1">DCF!$I$56</definedName>
    <definedName name="_xlchart.v1.6" hidden="1">DCF!$I$57:$I$62</definedName>
    <definedName name="_xlchart.v1.60" hidden="1">DCF!$I$56</definedName>
    <definedName name="_xlchart.v1.61" hidden="1">DCF!$I$57:$I$62</definedName>
    <definedName name="_xlchart.v1.62" hidden="1">DCF!$I$57:$I$62</definedName>
    <definedName name="_xlchart.v1.63" hidden="1">DCF!$H$57:$H$62</definedName>
    <definedName name="_xlchart.v1.64" hidden="1">DCF!$I$56</definedName>
    <definedName name="_xlchart.v1.65" hidden="1">DCF!$I$57:$I$62</definedName>
    <definedName name="_xlchart.v1.66" hidden="1">DCF!$J$57:$J$62</definedName>
    <definedName name="_xlchart.v1.67" hidden="1">DCF!$H$57:$H$62</definedName>
    <definedName name="_xlchart.v1.68" hidden="1">DCF!$H$57:$H$62</definedName>
    <definedName name="_xlchart.v1.69" hidden="1">DCF!$I$57:$I$62</definedName>
    <definedName name="_xlchart.v1.7" hidden="1">DCF!$J$57:$J$62</definedName>
    <definedName name="_xlchart.v1.70" hidden="1">DCF!$I$56</definedName>
    <definedName name="_xlchart.v1.71" hidden="1">DCF!$I$56</definedName>
    <definedName name="_xlchart.v1.72" hidden="1">DCF!$I$57:$I$62</definedName>
    <definedName name="_xlchart.v1.73" hidden="1">DCF!$H$57:$H$62</definedName>
    <definedName name="_xlchart.v1.74" hidden="1">DCF!$I$56</definedName>
    <definedName name="_xlchart.v1.75" hidden="1">DCF!$I$57:$I$62</definedName>
    <definedName name="_xlchart.v1.76" hidden="1">DCF!$J$57:$J$62</definedName>
    <definedName name="_xlchart.v1.77" hidden="1">DCF!$H$57:$H$62</definedName>
    <definedName name="_xlchart.v1.78" hidden="1">DCF!$I$56</definedName>
    <definedName name="_xlchart.v1.79" hidden="1">DCF!$I$57:$I$62</definedName>
    <definedName name="_xlchart.v1.8" hidden="1">DCF!$H$57:$H$62</definedName>
    <definedName name="_xlchart.v1.80" hidden="1">DCF!$J$57:$J$62</definedName>
    <definedName name="_xlchart.v1.81" hidden="1">DCF!$A$17:$A$23</definedName>
    <definedName name="_xlchart.v1.82" hidden="1">DCF!$B$16</definedName>
    <definedName name="_xlchart.v1.83" hidden="1">DCF!$B$17:$B$23</definedName>
    <definedName name="_xlchart.v1.84" hidden="1">DCF!$C$16</definedName>
    <definedName name="_xlchart.v1.85" hidden="1">DCF!$C$17:$C$23</definedName>
    <definedName name="_xlchart.v1.86" hidden="1">DCF!$D$16</definedName>
    <definedName name="_xlchart.v1.87" hidden="1">DCF!$D$17:$D$23</definedName>
    <definedName name="_xlchart.v1.9" hidden="1">DCF!$I$56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4" l="1"/>
  <c r="J58" i="4"/>
  <c r="J59" i="4"/>
  <c r="J60" i="4"/>
  <c r="J61" i="4"/>
  <c r="J57" i="4"/>
  <c r="I61" i="4"/>
  <c r="I60" i="4"/>
  <c r="N28" i="4"/>
  <c r="M28" i="4"/>
  <c r="D71" i="4"/>
  <c r="D72" i="4" s="1"/>
  <c r="C61" i="4" s="1"/>
  <c r="E61" i="4" s="1"/>
  <c r="B71" i="4"/>
  <c r="B70" i="4"/>
  <c r="L5" i="2"/>
  <c r="L6" i="2"/>
  <c r="B69" i="4"/>
  <c r="D13" i="3"/>
  <c r="D17" i="4"/>
  <c r="C17" i="4"/>
  <c r="C18" i="4"/>
  <c r="C19" i="4" s="1"/>
  <c r="D18" i="4"/>
  <c r="D19" i="4" s="1"/>
  <c r="B15" i="4"/>
  <c r="B18" i="4" s="1"/>
  <c r="B19" i="4" s="1"/>
  <c r="B14" i="4"/>
  <c r="B13" i="4"/>
  <c r="B12" i="4"/>
  <c r="J24" i="3"/>
  <c r="J25" i="3"/>
  <c r="J26" i="3"/>
  <c r="J27" i="3"/>
  <c r="J23" i="3"/>
  <c r="J22" i="3"/>
  <c r="K23" i="3"/>
  <c r="I24" i="3"/>
  <c r="I25" i="3"/>
  <c r="I26" i="3"/>
  <c r="I27" i="3"/>
  <c r="I23" i="3"/>
  <c r="I22" i="3"/>
  <c r="G24" i="3"/>
  <c r="G25" i="3"/>
  <c r="G26" i="3"/>
  <c r="G27" i="3"/>
  <c r="G23" i="3"/>
  <c r="G22" i="3"/>
  <c r="E24" i="3"/>
  <c r="E25" i="3"/>
  <c r="E26" i="3"/>
  <c r="E27" i="3"/>
  <c r="E23" i="3"/>
  <c r="E22" i="3"/>
  <c r="D17" i="3"/>
  <c r="D22" i="3"/>
  <c r="D27" i="3"/>
  <c r="D26" i="3"/>
  <c r="F26" i="3" s="1"/>
  <c r="H26" i="3" s="1"/>
  <c r="K26" i="3" s="1"/>
  <c r="D25" i="3"/>
  <c r="D24" i="3"/>
  <c r="F27" i="3"/>
  <c r="D23" i="3"/>
  <c r="F13" i="3"/>
  <c r="C27" i="3"/>
  <c r="C26" i="3"/>
  <c r="C25" i="3"/>
  <c r="C23" i="3"/>
  <c r="C24" i="3"/>
  <c r="C19" i="3"/>
  <c r="C18" i="3"/>
  <c r="C22" i="3"/>
  <c r="K18" i="3"/>
  <c r="K19" i="3"/>
  <c r="K20" i="3"/>
  <c r="K21" i="3"/>
  <c r="K17" i="3"/>
  <c r="J19" i="3"/>
  <c r="J20" i="3"/>
  <c r="J21" i="3"/>
  <c r="J18" i="3"/>
  <c r="J17" i="3"/>
  <c r="I19" i="3"/>
  <c r="I20" i="3"/>
  <c r="I21" i="3"/>
  <c r="I18" i="3"/>
  <c r="I17" i="3"/>
  <c r="H18" i="3"/>
  <c r="H19" i="3"/>
  <c r="H20" i="3"/>
  <c r="H21" i="3"/>
  <c r="H17" i="3"/>
  <c r="G19" i="3"/>
  <c r="G20" i="3"/>
  <c r="G21" i="3"/>
  <c r="G18" i="3"/>
  <c r="G17" i="3"/>
  <c r="F22" i="3"/>
  <c r="H22" i="3" s="1"/>
  <c r="F18" i="3"/>
  <c r="F19" i="3"/>
  <c r="F20" i="3"/>
  <c r="F21" i="3"/>
  <c r="F24" i="3"/>
  <c r="H24" i="3" s="1"/>
  <c r="K24" i="3" s="1"/>
  <c r="F17" i="3"/>
  <c r="E19" i="3"/>
  <c r="E20" i="3"/>
  <c r="E21" i="3"/>
  <c r="E18" i="3"/>
  <c r="E13" i="3"/>
  <c r="D20" i="3"/>
  <c r="D21" i="3"/>
  <c r="D19" i="3"/>
  <c r="D18" i="3"/>
  <c r="C20" i="3"/>
  <c r="C21" i="3"/>
  <c r="C14" i="3"/>
  <c r="C13" i="3"/>
  <c r="K14" i="3"/>
  <c r="K15" i="3"/>
  <c r="K16" i="3"/>
  <c r="J14" i="3"/>
  <c r="J15" i="3"/>
  <c r="J16" i="3"/>
  <c r="J13" i="3"/>
  <c r="I14" i="3"/>
  <c r="I15" i="3"/>
  <c r="I16" i="3"/>
  <c r="I13" i="3"/>
  <c r="H14" i="3"/>
  <c r="H15" i="3"/>
  <c r="H16" i="3"/>
  <c r="G14" i="3"/>
  <c r="G15" i="3"/>
  <c r="G16" i="3"/>
  <c r="F15" i="3"/>
  <c r="F16" i="3"/>
  <c r="F14" i="3"/>
  <c r="D16" i="3"/>
  <c r="D15" i="3"/>
  <c r="D14" i="3"/>
  <c r="E15" i="3"/>
  <c r="E14" i="3"/>
  <c r="E16" i="3"/>
  <c r="E17" i="3"/>
  <c r="I2" i="3"/>
  <c r="C15" i="3"/>
  <c r="C16" i="3" s="1"/>
  <c r="C17" i="3" s="1"/>
  <c r="J2" i="2"/>
  <c r="J6" i="2"/>
  <c r="J5" i="2"/>
  <c r="J4" i="2"/>
  <c r="J3" i="2"/>
  <c r="B5" i="2"/>
  <c r="L2" i="2"/>
  <c r="L3" i="2"/>
  <c r="L4" i="2"/>
  <c r="B11" i="5"/>
  <c r="B10" i="5"/>
  <c r="B72" i="4" l="1"/>
  <c r="B73" i="4" s="1"/>
  <c r="B17" i="4"/>
  <c r="B20" i="4" s="1"/>
  <c r="B22" i="4" s="1"/>
  <c r="C20" i="4"/>
  <c r="C22" i="4" s="1"/>
  <c r="D20" i="4"/>
  <c r="K22" i="3"/>
  <c r="H27" i="3"/>
  <c r="K27" i="3" s="1"/>
  <c r="F25" i="3"/>
  <c r="H25" i="3" s="1"/>
  <c r="K25" i="3" s="1"/>
  <c r="F23" i="3"/>
  <c r="H23" i="3" s="1"/>
  <c r="G13" i="3"/>
  <c r="H13" i="3" s="1"/>
  <c r="K13" i="3" s="1"/>
  <c r="B75" i="4" l="1"/>
  <c r="B60" i="4"/>
  <c r="C23" i="4"/>
  <c r="B58" i="4"/>
  <c r="B23" i="4"/>
  <c r="B27" i="4" s="1"/>
  <c r="B57" i="4"/>
  <c r="C21" i="4"/>
  <c r="B21" i="4"/>
  <c r="D22" i="4"/>
  <c r="B59" i="4" s="1"/>
  <c r="C77" i="4" l="1"/>
  <c r="C60" i="4"/>
  <c r="E60" i="4" s="1"/>
  <c r="C57" i="4"/>
  <c r="B37" i="4"/>
  <c r="C58" i="4"/>
  <c r="I58" i="4" s="1"/>
  <c r="D23" i="4"/>
  <c r="D21" i="4"/>
  <c r="E57" i="4" l="1"/>
  <c r="I57" i="4"/>
  <c r="E58" i="4"/>
  <c r="B46" i="4"/>
  <c r="C59" i="4"/>
  <c r="E59" i="4" l="1"/>
  <c r="I59" i="4"/>
</calcChain>
</file>

<file path=xl/sharedStrings.xml><?xml version="1.0" encoding="utf-8"?>
<sst xmlns="http://schemas.openxmlformats.org/spreadsheetml/2006/main" count="155" uniqueCount="113">
  <si>
    <t>How to use:</t>
  </si>
  <si>
    <t>1) Fill the 'History' sheet with last 5 years + LTM data from WSP reports.</t>
  </si>
  <si>
    <t>2) Adjust drivers in 'Forecast' (growth, margins, capex, NWC).</t>
  </si>
  <si>
    <t>3) DCF calculates fair value using WACC &amp; terminal growth.</t>
  </si>
  <si>
    <t>4) Enter peer multiples in 'Comps' to triangulate target.</t>
  </si>
  <si>
    <t>5) Use 'Sensitivity' to show WACC vs. terminal growth impact.</t>
  </si>
  <si>
    <t>Blue cells = inputs; Grey/white = formulas (after you paste real numbers).</t>
  </si>
  <si>
    <t>Year</t>
  </si>
  <si>
    <t>Revenue ($m)</t>
  </si>
  <si>
    <t>EBITDA ($m)</t>
  </si>
  <si>
    <t>D&amp;A ($m)</t>
  </si>
  <si>
    <t>EBIT ($m)</t>
  </si>
  <si>
    <t>Net Income ($m)</t>
  </si>
  <si>
    <t>Operating CF ($m)</t>
  </si>
  <si>
    <t>Capex ($m)</t>
  </si>
  <si>
    <t>Backlog ($m)</t>
  </si>
  <si>
    <t>Book-to-Bill</t>
  </si>
  <si>
    <t>Shares Out (m)</t>
  </si>
  <si>
    <t>Net Debt ($m)</t>
  </si>
  <si>
    <t>Forecast Inputs</t>
  </si>
  <si>
    <t>Base</t>
  </si>
  <si>
    <t>Bull</t>
  </si>
  <si>
    <t>Bear</t>
  </si>
  <si>
    <t>Notes</t>
  </si>
  <si>
    <t>Revenue growth % (Year 1-5)</t>
  </si>
  <si>
    <t>Annual top-line growth</t>
  </si>
  <si>
    <t>Yr1 starting margin</t>
  </si>
  <si>
    <t>EBITDA margin step (+/- per year)</t>
  </si>
  <si>
    <t>Add per year</t>
  </si>
  <si>
    <t>D&amp;A as % of Revenue</t>
  </si>
  <si>
    <t>Capex as % of Revenue</t>
  </si>
  <si>
    <t>Tax rate %</t>
  </si>
  <si>
    <t>NWC change as % of Revenue</t>
  </si>
  <si>
    <t>Scenario</t>
  </si>
  <si>
    <t>Tax ($m)</t>
  </si>
  <si>
    <t>NOPAT ($m)</t>
  </si>
  <si>
    <t>ΔNWC ($m)</t>
  </si>
  <si>
    <t>FCF ($m)</t>
  </si>
  <si>
    <t>Year 1</t>
  </si>
  <si>
    <t>Year 2</t>
  </si>
  <si>
    <t>Year 3</t>
  </si>
  <si>
    <t>Year 4</t>
  </si>
  <si>
    <t>Year 5</t>
  </si>
  <si>
    <t>Input</t>
  </si>
  <si>
    <t>Value</t>
  </si>
  <si>
    <t>WACC</t>
  </si>
  <si>
    <t>Discount rate</t>
  </si>
  <si>
    <t>Terminal growth (g)</t>
  </si>
  <si>
    <t>Current Price</t>
  </si>
  <si>
    <t>Projected FCF ($m) – Base</t>
  </si>
  <si>
    <t>PV of FCFs ($m)</t>
  </si>
  <si>
    <t>Terminal Value ($m)</t>
  </si>
  <si>
    <t>PV of Terminal Value ($m)</t>
  </si>
  <si>
    <t>Enterprise Value ($m)</t>
  </si>
  <si>
    <t>Less: Net Debt ($m)</t>
  </si>
  <si>
    <t>Equity Value ($m)</t>
  </si>
  <si>
    <t>Value per Share</t>
  </si>
  <si>
    <t>Peer</t>
  </si>
  <si>
    <t>Ticker</t>
  </si>
  <si>
    <t>EV/EBITDA (NTM)</t>
  </si>
  <si>
    <t>P/E (NTM)</t>
  </si>
  <si>
    <t>AECOM</t>
  </si>
  <si>
    <t>ACM</t>
  </si>
  <si>
    <t>Stantec</t>
  </si>
  <si>
    <t>STN.TO</t>
  </si>
  <si>
    <t>Jacobs</t>
  </si>
  <si>
    <t>J</t>
  </si>
  <si>
    <t>Arcadis</t>
  </si>
  <si>
    <t>ARCAD.AS</t>
  </si>
  <si>
    <t>Tetra Tech</t>
  </si>
  <si>
    <t>TTEK</t>
  </si>
  <si>
    <t>AtkinsRéalis</t>
  </si>
  <si>
    <t>ATRL.TO</t>
  </si>
  <si>
    <t>Peer Median EV/EBITDA</t>
  </si>
  <si>
    <t>Peer Median P/E</t>
  </si>
  <si>
    <t>WSP CFAC Model</t>
  </si>
  <si>
    <t>EBITDA margin % (Year1→Year5)</t>
  </si>
  <si>
    <t>Revenue($M)</t>
  </si>
  <si>
    <t>EBITDA($M)</t>
  </si>
  <si>
    <t>EBITDA Margin</t>
  </si>
  <si>
    <t>From History (2024)</t>
  </si>
  <si>
    <t>Projected FCF($m) - Bull</t>
  </si>
  <si>
    <t>Projected FCF($m) - Bear</t>
  </si>
  <si>
    <t>WACC input</t>
  </si>
  <si>
    <t>Terminal growth input (Base)</t>
  </si>
  <si>
    <t>Terminal growth input (Bull)</t>
  </si>
  <si>
    <t>Terminal growth input (Bear)</t>
  </si>
  <si>
    <t>WSP Global – Value per Share Sensitivity to WACC and Terminal Growth Rate</t>
  </si>
  <si>
    <t>DCF - Base</t>
  </si>
  <si>
    <t>DCF - Bear</t>
  </si>
  <si>
    <t>DCF - Bull</t>
  </si>
  <si>
    <t>Target Price</t>
  </si>
  <si>
    <t>Value per share($)</t>
  </si>
  <si>
    <t>Upside vs. Current</t>
  </si>
  <si>
    <t>Current Shared Price</t>
  </si>
  <si>
    <t>EV/EBITDA</t>
  </si>
  <si>
    <t>P/E</t>
  </si>
  <si>
    <t>Equity Value</t>
  </si>
  <si>
    <t>Comparable Multiples Valuation</t>
  </si>
  <si>
    <t>Implied EV</t>
  </si>
  <si>
    <t>Total Debt</t>
  </si>
  <si>
    <t>Net Debt</t>
  </si>
  <si>
    <t>Cash and Cash equivalents</t>
  </si>
  <si>
    <t>Value Per Share</t>
  </si>
  <si>
    <t>Share Outstanding</t>
  </si>
  <si>
    <t>P/E Method</t>
  </si>
  <si>
    <t>EV/EBITDA Method</t>
  </si>
  <si>
    <t>Net Operating Profit After Tax (NOPAT)</t>
  </si>
  <si>
    <t>EBIT</t>
  </si>
  <si>
    <t>Earning Per Share</t>
  </si>
  <si>
    <t>Implied Share Price</t>
  </si>
  <si>
    <t>Summary Table - DCF Valuation</t>
  </si>
  <si>
    <t>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</si>
</sst>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75" formatCode="_-[$$-1009]* #,##0.00_-;\-[$$-1009]* #,##0.00_-;_-[$$-1009]* &quot;-&quot;??_-;_-@_-"/>
    <numFmt numFmtId="176" formatCode="_-[$$-1009]* #,##0.0_-;\-[$$-1009]* #,##0.0_-;_-[$$-1009]* &quot;-&quot;?_-;_-@_-"/>
    <numFmt numFmtId="177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44" fontId="0" fillId="0" borderId="0" xfId="1" applyFont="1"/>
    <xf numFmtId="2" fontId="0" fillId="0" borderId="0" xfId="0" applyNumberFormat="1"/>
    <xf numFmtId="175" fontId="0" fillId="0" borderId="0" xfId="0" applyNumberFormat="1"/>
    <xf numFmtId="175" fontId="0" fillId="0" borderId="0" xfId="1" applyNumberFormat="1" applyFont="1"/>
    <xf numFmtId="176" fontId="0" fillId="0" borderId="0" xfId="0" applyNumberFormat="1"/>
    <xf numFmtId="44" fontId="0" fillId="0" borderId="0" xfId="0" applyNumberFormat="1"/>
    <xf numFmtId="0" fontId="1" fillId="0" borderId="2" xfId="0" applyFont="1" applyBorder="1"/>
    <xf numFmtId="0" fontId="0" fillId="0" borderId="2" xfId="0" applyBorder="1"/>
    <xf numFmtId="44" fontId="0" fillId="0" borderId="2" xfId="1" applyFont="1" applyBorder="1"/>
    <xf numFmtId="0" fontId="4" fillId="0" borderId="0" xfId="0" applyFont="1"/>
    <xf numFmtId="44" fontId="0" fillId="0" borderId="1" xfId="0" applyNumberFormat="1" applyFont="1" applyFill="1" applyBorder="1"/>
    <xf numFmtId="0" fontId="0" fillId="0" borderId="0" xfId="0" applyFont="1"/>
    <xf numFmtId="177" fontId="4" fillId="0" borderId="0" xfId="2" applyNumberFormat="1" applyFont="1"/>
    <xf numFmtId="9" fontId="4" fillId="0" borderId="0" xfId="0" applyNumberFormat="1" applyFont="1"/>
    <xf numFmtId="44" fontId="1" fillId="0" borderId="0" xfId="0" applyNumberFormat="1" applyFont="1"/>
    <xf numFmtId="10" fontId="5" fillId="0" borderId="0" xfId="0" applyNumberFormat="1" applyFont="1"/>
    <xf numFmtId="9" fontId="0" fillId="0" borderId="0" xfId="0" applyNumberFormat="1" applyFont="1"/>
    <xf numFmtId="9" fontId="0" fillId="0" borderId="0" xfId="0" applyNumberFormat="1"/>
    <xf numFmtId="10" fontId="0" fillId="0" borderId="0" xfId="0" applyNumberFormat="1"/>
    <xf numFmtId="177" fontId="0" fillId="0" borderId="0" xfId="0" applyNumberFormat="1"/>
    <xf numFmtId="0" fontId="4" fillId="0" borderId="0" xfId="0" applyFont="1" applyAlignment="1">
      <alignment horizontal="center"/>
    </xf>
    <xf numFmtId="44" fontId="4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NumberFormat="1"/>
    <xf numFmtId="2" fontId="4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11">
    <dxf>
      <numFmt numFmtId="34" formatCode="_(&quot;$&quot;* #,##0.00_);_(&quot;$&quot;* \(#,##0.00\);_(&quot;$&quot;* &quot;-&quot;??_);_(@_)"/>
    </dxf>
    <dxf>
      <numFmt numFmtId="2" formatCode="0.00"/>
    </dxf>
    <dxf>
      <numFmt numFmtId="176" formatCode="_-[$$-1009]* #,##0.0_-;\-[$$-1009]* #,##0.0_-;_-[$$-1009]* &quot;-&quot;?_-;_-@_-"/>
    </dxf>
    <dxf>
      <numFmt numFmtId="175" formatCode="_-[$$-1009]* #,##0.00_-;\-[$$-1009]* #,##0.00_-;_-[$$-1009]* &quot;-&quot;??_-;_-@_-"/>
    </dxf>
    <dxf>
      <numFmt numFmtId="175" formatCode="_-[$$-1009]* #,##0.00_-;\-[$$-1009]* #,##0.00_-;_-[$$-1009]* &quot;-&quot;??_-;_-@_-"/>
    </dxf>
    <dxf>
      <numFmt numFmtId="175" formatCode="_-[$$-1009]* #,##0.00_-;\-[$$-1009]* #,##0.00_-;_-[$$-1009]* &quot;-&quot;??_-;_-@_-"/>
    </dxf>
    <dxf>
      <numFmt numFmtId="175" formatCode="_-[$$-1009]* #,##0.00_-;\-[$$-1009]* #,##0.00_-;_-[$$-1009]* &quot;-&quot;??_-;_-@_-"/>
    </dxf>
    <dxf>
      <numFmt numFmtId="175" formatCode="_-[$$-1009]* #,##0.00_-;\-[$$-1009]* #,##0.00_-;_-[$$-1009]* &quot;-&quot;??_-;_-@_-"/>
    </dxf>
    <dxf>
      <numFmt numFmtId="175" formatCode="_-[$$-1009]* #,##0.00_-;\-[$$-1009]* #,##0.00_-;_-[$$-1009]* &quot;-&quot;??_-;_-@_-"/>
    </dxf>
    <dxf>
      <numFmt numFmtId="175" formatCode="_-[$$-1009]* #,##0.00_-;\-[$$-1009]* #,##0.00_-;_-[$$-1009]* &quot;-&quot;??_-;_-@_-"/>
    </dxf>
    <dxf>
      <numFmt numFmtId="175" formatCode="_-[$$-1009]* #,##0.00_-;\-[$$-1009]* #,##0.00_-;_-[$$-1009]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Projected Free Cash Flows (2025–2029)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DCF!$B$10</c:f>
              <c:strCache>
                <c:ptCount val="1"/>
                <c:pt idx="0">
                  <c:v>Projected FCF ($m) – Base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DCF!$A$11:$A$15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DCF!$B$11:$B$15</c:f>
              <c:numCache>
                <c:formatCode>_("$"* #,##0.00_);_("$"* \(#,##0.00\);_("$"* "-"??_);_(@_)</c:formatCode>
                <c:ptCount val="5"/>
                <c:pt idx="0">
                  <c:v>1475</c:v>
                </c:pt>
                <c:pt idx="1">
                  <c:v>1599.15</c:v>
                </c:pt>
                <c:pt idx="2">
                  <c:v>1733.46</c:v>
                </c:pt>
                <c:pt idx="3">
                  <c:v>1878.73</c:v>
                </c:pt>
                <c:pt idx="4">
                  <c:v>2035.85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1-0049-9E02-F88ABB266FA5}"/>
            </c:ext>
          </c:extLst>
        </c:ser>
        <c:ser>
          <c:idx val="1"/>
          <c:order val="1"/>
          <c:tx>
            <c:strRef>
              <c:f>DCF!$C$10</c:f>
              <c:strCache>
                <c:ptCount val="1"/>
                <c:pt idx="0">
                  <c:v>Projected FCF($m) - Bull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DCF!$A$11:$A$15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DCF!$C$11:$C$15</c:f>
              <c:numCache>
                <c:formatCode>_("$"* #,##0.00_);_("$"* \(#,##0.00\);_("$"* "-"??_);_(@_)</c:formatCode>
                <c:ptCount val="5"/>
                <c:pt idx="0">
                  <c:v>1718.17</c:v>
                </c:pt>
                <c:pt idx="1">
                  <c:v>1916.19</c:v>
                </c:pt>
                <c:pt idx="2">
                  <c:v>2135.9299999999998</c:v>
                </c:pt>
                <c:pt idx="3">
                  <c:v>2379.71</c:v>
                </c:pt>
                <c:pt idx="4">
                  <c:v>2650.07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1-0049-9E02-F88ABB266FA5}"/>
            </c:ext>
          </c:extLst>
        </c:ser>
        <c:ser>
          <c:idx val="2"/>
          <c:order val="2"/>
          <c:tx>
            <c:strRef>
              <c:f>DCF!$D$10</c:f>
              <c:strCache>
                <c:ptCount val="1"/>
                <c:pt idx="0">
                  <c:v>Projected FCF($m) - Bear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DCF!$A$11:$A$15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DCF!$D$11:$D$15</c:f>
              <c:numCache>
                <c:formatCode>_("$"* #,##0.00_);_("$"* \(#,##0.00\);_("$"* "-"??_);_(@_)</c:formatCode>
                <c:ptCount val="5"/>
                <c:pt idx="0">
                  <c:v>1227.93</c:v>
                </c:pt>
                <c:pt idx="1">
                  <c:v>1277.05</c:v>
                </c:pt>
                <c:pt idx="2">
                  <c:v>1328.13</c:v>
                </c:pt>
                <c:pt idx="3">
                  <c:v>1381.26</c:v>
                </c:pt>
                <c:pt idx="4">
                  <c:v>1436.51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D1-0049-9E02-F88ABB266F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5023168"/>
        <c:axId val="1462199168"/>
      </c:barChart>
      <c:catAx>
        <c:axId val="125502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99168"/>
        <c:crosses val="autoZero"/>
        <c:auto val="1"/>
        <c:lblAlgn val="ctr"/>
        <c:lblOffset val="100"/>
        <c:noMultiLvlLbl val="0"/>
      </c:catAx>
      <c:valAx>
        <c:axId val="14621991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2550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CA"/>
              <a:t>DCF-Derived Value Per Share by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DCF!$K$28</c:f>
              <c:strCache>
                <c:ptCount val="1"/>
                <c:pt idx="0">
                  <c:v>Value per Share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DCF!$L$27:$N$27</c:f>
              <c:strCache>
                <c:ptCount val="3"/>
                <c:pt idx="0">
                  <c:v>Projected FCF ($m) – Base</c:v>
                </c:pt>
                <c:pt idx="1">
                  <c:v>Projected FCF($m) - Bull</c:v>
                </c:pt>
                <c:pt idx="2">
                  <c:v>Projected FCF($m) - Bear</c:v>
                </c:pt>
              </c:strCache>
            </c:strRef>
          </c:cat>
          <c:val>
            <c:numRef>
              <c:f>DCF!$L$28:$N$28</c:f>
              <c:numCache>
                <c:formatCode>_("$"* #,##0.00_);_("$"* \(#,##0.00\);_("$"* "-"??_);_(@_)</c:formatCode>
                <c:ptCount val="3"/>
                <c:pt idx="0">
                  <c:v>229.89</c:v>
                </c:pt>
                <c:pt idx="1">
                  <c:v>303.18</c:v>
                </c:pt>
                <c:pt idx="2">
                  <c:v>158.11000000000001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2-FF48-8572-0F37F8B147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01988864"/>
        <c:axId val="1333180864"/>
      </c:barChart>
      <c:catAx>
        <c:axId val="17019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80864"/>
        <c:crosses val="autoZero"/>
        <c:auto val="1"/>
        <c:lblAlgn val="ctr"/>
        <c:lblOffset val="100"/>
        <c:noMultiLvlLbl val="0"/>
      </c:catAx>
      <c:valAx>
        <c:axId val="133318086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70198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Valuation Comparison: DCF Scenarios vs. Multiples vs.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DCF!$I$56</c:f>
              <c:strCache>
                <c:ptCount val="1"/>
                <c:pt idx="0">
                  <c:v>Value per share($)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DCF!$H$57:$H$62</c:f>
              <c:strCache>
                <c:ptCount val="6"/>
                <c:pt idx="0">
                  <c:v>DCF - Base</c:v>
                </c:pt>
                <c:pt idx="1">
                  <c:v>DCF - Bull</c:v>
                </c:pt>
                <c:pt idx="2">
                  <c:v>DCF - Bear</c:v>
                </c:pt>
                <c:pt idx="3">
                  <c:v>EV/EBITDA</c:v>
                </c:pt>
                <c:pt idx="4">
                  <c:v>P/E</c:v>
                </c:pt>
                <c:pt idx="5">
                  <c:v>Target Price</c:v>
                </c:pt>
              </c:strCache>
            </c:strRef>
          </c:cat>
          <c:val>
            <c:numRef>
              <c:f>DCF!$I$57:$I$62</c:f>
              <c:numCache>
                <c:formatCode>_("$"* #,##0.00_);_("$"* \(#,##0.00\);_("$"* "-"??_);_(@_)</c:formatCode>
                <c:ptCount val="6"/>
                <c:pt idx="0">
                  <c:v>229.89456324165022</c:v>
                </c:pt>
                <c:pt idx="1">
                  <c:v>303.17773535845464</c:v>
                </c:pt>
                <c:pt idx="2">
                  <c:v>158.10513876684735</c:v>
                </c:pt>
                <c:pt idx="3">
                  <c:v>242.24894849785409</c:v>
                </c:pt>
                <c:pt idx="4">
                  <c:v>262.82714209074186</c:v>
                </c:pt>
                <c:pt idx="5">
                  <c:v>252.54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1-3847-819C-F1061A717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341752352"/>
        <c:axId val="1341749840"/>
      </c:barChart>
      <c:lineChart>
        <c:grouping val="standard"/>
        <c:varyColors val="0"/>
        <c:ser>
          <c:idx val="1"/>
          <c:order val="1"/>
          <c:tx>
            <c:v>Current Price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DCF!$J$57:$J$62</c:f>
              <c:numCache>
                <c:formatCode>_("$"* #,##0.00_);_("$"* \(#,##0.00\);_("$"* "-"??_);_(@_)</c:formatCode>
                <c:ptCount val="6"/>
                <c:pt idx="0">
                  <c:v>286.89</c:v>
                </c:pt>
                <c:pt idx="1">
                  <c:v>286.89</c:v>
                </c:pt>
                <c:pt idx="2">
                  <c:v>286.89</c:v>
                </c:pt>
                <c:pt idx="3">
                  <c:v>286.89</c:v>
                </c:pt>
                <c:pt idx="4">
                  <c:v>286.89</c:v>
                </c:pt>
                <c:pt idx="5">
                  <c:v>286.89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3847-819C-F1061A717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752352"/>
        <c:axId val="1341749840"/>
      </c:lineChart>
      <c:catAx>
        <c:axId val="13417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49840"/>
        <c:crosses val="autoZero"/>
        <c:auto val="1"/>
        <c:lblAlgn val="ctr"/>
        <c:lblOffset val="100"/>
        <c:noMultiLvlLbl val="0"/>
      </c:catAx>
      <c:valAx>
        <c:axId val="13417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5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800" b="1" i="0" u="none" strike="noStrike" baseline="0"/>
              <a:t>Enterprise to Equity Value Breakdown by Scenario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DCF!$B$16</c:f>
              <c:strCache>
                <c:ptCount val="1"/>
                <c:pt idx="0">
                  <c:v>Projected FCF ($m) – Base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DCF!$A$17:$A$23</c:f>
              <c:strCache>
                <c:ptCount val="7"/>
                <c:pt idx="0">
                  <c:v>PV of FCFs ($m)</c:v>
                </c:pt>
                <c:pt idx="1">
                  <c:v>Terminal Value ($m)</c:v>
                </c:pt>
                <c:pt idx="2">
                  <c:v>PV of Terminal Value ($m)</c:v>
                </c:pt>
                <c:pt idx="3">
                  <c:v>Enterprise Value ($m)</c:v>
                </c:pt>
                <c:pt idx="4">
                  <c:v>Less: Net Debt ($m)</c:v>
                </c:pt>
                <c:pt idx="5">
                  <c:v>Equity Value ($m)</c:v>
                </c:pt>
                <c:pt idx="6">
                  <c:v>Value per Share</c:v>
                </c:pt>
              </c:strCache>
            </c:strRef>
          </c:cat>
          <c:val>
            <c:numRef>
              <c:f>DCF!$B$17:$B$23</c:f>
              <c:numCache>
                <c:formatCode>_("$"* #,##0.00_);_("$"* \(#,##0.00\);_("$"* "-"??_);_(@_)</c:formatCode>
                <c:ptCount val="7"/>
                <c:pt idx="0">
                  <c:v>6976.139529890811</c:v>
                </c:pt>
                <c:pt idx="1">
                  <c:v>37755.763636363641</c:v>
                </c:pt>
                <c:pt idx="2">
                  <c:v>26299.103081879708</c:v>
                </c:pt>
                <c:pt idx="3">
                  <c:v>33275.242611770518</c:v>
                </c:pt>
                <c:pt idx="4">
                  <c:v>3278.5999999999985</c:v>
                </c:pt>
                <c:pt idx="5">
                  <c:v>29996.64261177052</c:v>
                </c:pt>
                <c:pt idx="6">
                  <c:v>229.89456324165022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F-7047-9E67-068AFE9C3E17}"/>
            </c:ext>
          </c:extLst>
        </c:ser>
        <c:ser>
          <c:idx val="1"/>
          <c:order val="1"/>
          <c:tx>
            <c:strRef>
              <c:f>DCF!$C$16</c:f>
              <c:strCache>
                <c:ptCount val="1"/>
                <c:pt idx="0">
                  <c:v>Projected FCF($m) - Bull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DCF!$A$17:$A$23</c:f>
              <c:strCache>
                <c:ptCount val="7"/>
                <c:pt idx="0">
                  <c:v>PV of FCFs ($m)</c:v>
                </c:pt>
                <c:pt idx="1">
                  <c:v>Terminal Value ($m)</c:v>
                </c:pt>
                <c:pt idx="2">
                  <c:v>PV of Terminal Value ($m)</c:v>
                </c:pt>
                <c:pt idx="3">
                  <c:v>Enterprise Value ($m)</c:v>
                </c:pt>
                <c:pt idx="4">
                  <c:v>Less: Net Debt ($m)</c:v>
                </c:pt>
                <c:pt idx="5">
                  <c:v>Equity Value ($m)</c:v>
                </c:pt>
                <c:pt idx="6">
                  <c:v>Value per Share</c:v>
                </c:pt>
              </c:strCache>
            </c:strRef>
          </c:cat>
          <c:val>
            <c:numRef>
              <c:f>DCF!$C$17:$C$23</c:f>
              <c:numCache>
                <c:formatCode>_("$"* #,##0.00_);_("$"* \(#,##0.00\);_("$"* "-"??_);_(@_)</c:formatCode>
                <c:ptCount val="7"/>
                <c:pt idx="0">
                  <c:v>8603.6360454127134</c:v>
                </c:pt>
                <c:pt idx="1">
                  <c:v>49146.752727272738</c:v>
                </c:pt>
                <c:pt idx="2">
                  <c:v>34233.59486415844</c:v>
                </c:pt>
                <c:pt idx="3">
                  <c:v>42837.230909571153</c:v>
                </c:pt>
                <c:pt idx="4">
                  <c:v>3278.5999999999985</c:v>
                </c:pt>
                <c:pt idx="5">
                  <c:v>39558.630909571155</c:v>
                </c:pt>
                <c:pt idx="6">
                  <c:v>303.17773535845464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F-7047-9E67-068AFE9C3E17}"/>
            </c:ext>
          </c:extLst>
        </c:ser>
        <c:ser>
          <c:idx val="2"/>
          <c:order val="2"/>
          <c:tx>
            <c:strRef>
              <c:f>DCF!$D$16</c:f>
              <c:strCache>
                <c:ptCount val="1"/>
                <c:pt idx="0">
                  <c:v>Projected FCF($m) - Bear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DCF!$A$17:$A$23</c:f>
              <c:strCache>
                <c:ptCount val="7"/>
                <c:pt idx="0">
                  <c:v>PV of FCFs ($m)</c:v>
                </c:pt>
                <c:pt idx="1">
                  <c:v>Terminal Value ($m)</c:v>
                </c:pt>
                <c:pt idx="2">
                  <c:v>PV of Terminal Value ($m)</c:v>
                </c:pt>
                <c:pt idx="3">
                  <c:v>Enterprise Value ($m)</c:v>
                </c:pt>
                <c:pt idx="4">
                  <c:v>Less: Net Debt ($m)</c:v>
                </c:pt>
                <c:pt idx="5">
                  <c:v>Equity Value ($m)</c:v>
                </c:pt>
                <c:pt idx="6">
                  <c:v>Value per Share</c:v>
                </c:pt>
              </c:strCache>
            </c:strRef>
          </c:cat>
          <c:val>
            <c:numRef>
              <c:f>DCF!$D$17:$D$23</c:f>
              <c:numCache>
                <c:formatCode>_("$"* #,##0.00_);_("$"* \(#,##0.00\);_("$"* "-"??_);_(@_)</c:formatCode>
                <c:ptCount val="7"/>
                <c:pt idx="0">
                  <c:v>5351.3274194544056</c:v>
                </c:pt>
                <c:pt idx="1">
                  <c:v>26640.730909090911</c:v>
                </c:pt>
                <c:pt idx="2">
                  <c:v>18556.831086843831</c:v>
                </c:pt>
                <c:pt idx="3">
                  <c:v>23908.158506298238</c:v>
                </c:pt>
                <c:pt idx="4">
                  <c:v>3278.5999999999985</c:v>
                </c:pt>
                <c:pt idx="5">
                  <c:v>20629.558506298239</c:v>
                </c:pt>
                <c:pt idx="6">
                  <c:v>158.10513876684735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F-7047-9E67-068AFE9C3E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8893024"/>
        <c:axId val="29928703"/>
      </c:barChart>
      <c:catAx>
        <c:axId val="128889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8703"/>
        <c:crosses val="autoZero"/>
        <c:auto val="1"/>
        <c:lblAlgn val="ctr"/>
        <c:lblOffset val="100"/>
        <c:noMultiLvlLbl val="0"/>
      </c:catAx>
      <c:valAx>
        <c:axId val="299287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28889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9</xdr:row>
      <xdr:rowOff>25400</xdr:rowOff>
    </xdr:from>
    <xdr:to>
      <xdr:col>11</xdr:col>
      <xdr:colOff>590550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F6F72-11F0-F73A-1FCA-7021EDBB5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660400</xdr:colOff>
      <xdr:row>29</xdr:row>
      <xdr:rowOff>76200</xdr:rowOff>
    </xdr:from>
    <xdr:to>
      <xdr:col>12</xdr:col>
      <xdr:colOff>901700</xdr:colOff>
      <xdr:row>44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56EE10-E9A4-4417-CDDB-F759776D8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317500</xdr:colOff>
      <xdr:row>64</xdr:row>
      <xdr:rowOff>127000</xdr:rowOff>
    </xdr:from>
    <xdr:to>
      <xdr:col>11</xdr:col>
      <xdr:colOff>641350</xdr:colOff>
      <xdr:row>82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D73ADD-0530-2A9D-17DE-62333AD07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1339850</xdr:colOff>
      <xdr:row>5</xdr:row>
      <xdr:rowOff>50800</xdr:rowOff>
    </xdr:from>
    <xdr:to>
      <xdr:col>17</xdr:col>
      <xdr:colOff>431800</xdr:colOff>
      <xdr:row>24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308E82-1F90-6244-0A39-A3551C0B6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History" displayName="tblHistory" ref="A1:L6">
  <autoFilter ref="A1:L6" xr:uid="{00000000-0009-0000-0100-000001000000}"/>
  <tableColumns count="12">
    <tableColumn id="1" xr3:uid="{00000000-0010-0000-0000-000001000000}" name="Year"/>
    <tableColumn id="2" xr3:uid="{00000000-0010-0000-0000-000002000000}" name="Revenue ($m)" dataDxfId="10"/>
    <tableColumn id="3" xr3:uid="{00000000-0010-0000-0000-000003000000}" name="EBITDA ($m)" dataDxfId="9"/>
    <tableColumn id="4" xr3:uid="{00000000-0010-0000-0000-000004000000}" name="D&amp;A ($m)" dataDxfId="8"/>
    <tableColumn id="5" xr3:uid="{00000000-0010-0000-0000-000005000000}" name="EBIT ($m)" dataDxfId="7"/>
    <tableColumn id="6" xr3:uid="{00000000-0010-0000-0000-000006000000}" name="Net Income ($m)" dataDxfId="6"/>
    <tableColumn id="7" xr3:uid="{00000000-0010-0000-0000-000007000000}" name="Operating CF ($m)" dataDxfId="5"/>
    <tableColumn id="8" xr3:uid="{00000000-0010-0000-0000-000008000000}" name="Capex ($m)" dataDxfId="4" dataCellStyle="Currency"/>
    <tableColumn id="9" xr3:uid="{00000000-0010-0000-0000-000009000000}" name="Backlog ($m)" dataDxfId="3" dataCellStyle="Currency"/>
    <tableColumn id="10" xr3:uid="{00000000-0010-0000-0000-00000A000000}" name="Book-to-Bill" dataDxfId="1">
      <calculatedColumnFormula>(tblHistory[[#This Row],[Backlog ($m)]]-I1+tblHistory[[#This Row],[Revenue ($m)]])/tblHistory[[#This Row],[Revenue ($m)]]</calculatedColumnFormula>
    </tableColumn>
    <tableColumn id="11" xr3:uid="{00000000-0010-0000-0000-00000B000000}" name="Shares Out (m)" dataCellStyle="Currency"/>
    <tableColumn id="12" xr3:uid="{00000000-0010-0000-0000-00000C000000}" name="Net Debt ($m)" dataDxfId="2">
      <calculatedColumnFormula>1.5*tblHistory[[#This Row],[EBITDA ($m)]]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orecast" displayName="tblForecast" ref="A12:K27">
  <autoFilter ref="A12:K27" xr:uid="{00000000-0009-0000-0100-000002000000}"/>
  <tableColumns count="11">
    <tableColumn id="1" xr3:uid="{00000000-0010-0000-0100-000001000000}" name="Scenario"/>
    <tableColumn id="2" xr3:uid="{00000000-0010-0000-0100-000002000000}" name="Year"/>
    <tableColumn id="3" xr3:uid="{00000000-0010-0000-0100-000003000000}" name="Revenue ($m)"/>
    <tableColumn id="4" xr3:uid="{00000000-0010-0000-0100-000004000000}" name="EBITDA ($m)" dataDxfId="0">
      <calculatedColumnFormula>tblForecast[[#This Row],[Revenue ($m)]]*($B$3+$B$4*6)</calculatedColumnFormula>
    </tableColumn>
    <tableColumn id="5" xr3:uid="{00000000-0010-0000-0100-000005000000}" name="D&amp;A ($m)">
      <calculatedColumnFormula>tblForecast[[#This Row],[Revenue ($m)]]*$B$5</calculatedColumnFormula>
    </tableColumn>
    <tableColumn id="6" xr3:uid="{00000000-0010-0000-0100-000006000000}" name="EBIT ($m)"/>
    <tableColumn id="7" xr3:uid="{00000000-0010-0000-0100-000007000000}" name="Tax ($m)"/>
    <tableColumn id="8" xr3:uid="{00000000-0010-0000-0100-000008000000}" name="NOPAT ($m)"/>
    <tableColumn id="9" xr3:uid="{00000000-0010-0000-0100-000009000000}" name="Capex ($m)"/>
    <tableColumn id="10" xr3:uid="{00000000-0010-0000-0100-00000A000000}" name="ΔNWC ($m)"/>
    <tableColumn id="11" xr3:uid="{00000000-0010-0000-0100-00000B000000}" name="FCF ($m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mps" displayName="tblComps" ref="A1:D7">
  <autoFilter ref="A1:D7" xr:uid="{00000000-0009-0000-0100-000003000000}"/>
  <tableColumns count="4">
    <tableColumn id="1" xr3:uid="{00000000-0010-0000-0200-000001000000}" name="Peer"/>
    <tableColumn id="2" xr3:uid="{00000000-0010-0000-0200-000002000000}" name="Ticker"/>
    <tableColumn id="3" xr3:uid="{00000000-0010-0000-0200-000003000000}" name="EV/EBITDA (NTM)"/>
    <tableColumn id="4" xr3:uid="{00000000-0010-0000-0200-000004000000}" name="P/E (NT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75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9" spans="1:1" x14ac:dyDescent="0.2">
      <c r="A9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zoomScale="118" workbookViewId="0">
      <pane ySplit="1" topLeftCell="A2" activePane="bottomLeft" state="frozen"/>
      <selection pane="bottomLeft" activeCell="L6" sqref="L6"/>
    </sheetView>
  </sheetViews>
  <sheetFormatPr baseColWidth="10" defaultColWidth="8.83203125" defaultRowHeight="15" x14ac:dyDescent="0.2"/>
  <cols>
    <col min="1" max="1" width="10" customWidth="1"/>
    <col min="2" max="2" width="18.33203125" bestFit="1" customWidth="1"/>
    <col min="3" max="3" width="16" customWidth="1"/>
    <col min="4" max="4" width="15.6640625" bestFit="1" customWidth="1"/>
    <col min="5" max="12" width="16" customWidth="1"/>
  </cols>
  <sheetData>
    <row r="1" spans="1:12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x14ac:dyDescent="0.2">
      <c r="A2">
        <v>2020</v>
      </c>
      <c r="B2" s="4">
        <v>6859.1</v>
      </c>
      <c r="C2" s="4">
        <v>1053.7</v>
      </c>
      <c r="D2" s="4">
        <v>525</v>
      </c>
      <c r="E2" s="4">
        <v>459.4</v>
      </c>
      <c r="F2" s="4">
        <v>276</v>
      </c>
      <c r="G2" s="4">
        <v>1125.0999999999999</v>
      </c>
      <c r="H2" s="5">
        <v>100</v>
      </c>
      <c r="I2" s="5">
        <v>8421.2999999999993</v>
      </c>
      <c r="J2" s="3">
        <f>(tblHistory[[#This Row],[Backlog ($m)]]-8131.8+tblHistory[[#This Row],[Revenue ($m)]])/tblHistory[[#This Row],[Revenue ($m)]]</f>
        <v>1.0422067035033749</v>
      </c>
      <c r="K2" s="2">
        <v>109.96</v>
      </c>
      <c r="L2" s="6">
        <f>1.5*tblHistory[[#This Row],[EBITDA ($m)]]</f>
        <v>1580.5500000000002</v>
      </c>
    </row>
    <row r="3" spans="1:12" x14ac:dyDescent="0.2">
      <c r="A3">
        <v>2021</v>
      </c>
      <c r="B3" s="4">
        <v>7869.6</v>
      </c>
      <c r="C3" s="4">
        <v>1322.5</v>
      </c>
      <c r="D3" s="4">
        <v>522.29999999999995</v>
      </c>
      <c r="E3" s="4">
        <v>724.6</v>
      </c>
      <c r="F3" s="4">
        <v>473.6</v>
      </c>
      <c r="G3" s="4">
        <v>1060.0999999999999</v>
      </c>
      <c r="H3" s="5">
        <v>125</v>
      </c>
      <c r="I3" s="5">
        <v>10425.6</v>
      </c>
      <c r="J3" s="3">
        <f>(tblHistory[[#This Row],[Backlog ($m)]]-I2+tblHistory[[#This Row],[Revenue ($m)]])/tblHistory[[#This Row],[Revenue ($m)]]</f>
        <v>1.2546889295516928</v>
      </c>
      <c r="K3" s="2">
        <v>116.35</v>
      </c>
      <c r="L3" s="6">
        <f>1.5*tblHistory[[#This Row],[EBITDA ($m)]]</f>
        <v>1983.75</v>
      </c>
    </row>
    <row r="4" spans="1:12" x14ac:dyDescent="0.2">
      <c r="A4">
        <v>2022</v>
      </c>
      <c r="B4" s="4">
        <v>8957.2000000000007</v>
      </c>
      <c r="C4" s="4">
        <v>1530.2</v>
      </c>
      <c r="D4" s="4">
        <v>576.5</v>
      </c>
      <c r="E4" s="4">
        <v>749.1</v>
      </c>
      <c r="F4" s="4">
        <v>431.8</v>
      </c>
      <c r="G4" s="4">
        <v>814.8</v>
      </c>
      <c r="H4" s="5">
        <v>135</v>
      </c>
      <c r="I4" s="5">
        <v>13006.5</v>
      </c>
      <c r="J4" s="3">
        <f>(tblHistory[[#This Row],[Backlog ($m)]]-I3+tblHistory[[#This Row],[Revenue ($m)]])/tblHistory[[#This Row],[Revenue ($m)]]</f>
        <v>1.2881369177868083</v>
      </c>
      <c r="K4" s="2">
        <v>118.5</v>
      </c>
      <c r="L4" s="6">
        <f>1.5*tblHistory[[#This Row],[EBITDA ($m)]]</f>
        <v>2295.3000000000002</v>
      </c>
    </row>
    <row r="5" spans="1:12" x14ac:dyDescent="0.2">
      <c r="A5">
        <v>2023</v>
      </c>
      <c r="B5" s="4">
        <f>10897</f>
        <v>10897</v>
      </c>
      <c r="C5" s="4">
        <v>1921.3</v>
      </c>
      <c r="D5" s="4">
        <v>673.2</v>
      </c>
      <c r="E5" s="4">
        <v>947.5</v>
      </c>
      <c r="F5" s="4">
        <v>550</v>
      </c>
      <c r="G5" s="5">
        <v>986.3</v>
      </c>
      <c r="H5" s="5">
        <v>178.5</v>
      </c>
      <c r="I5" s="5">
        <v>14076.5</v>
      </c>
      <c r="J5" s="3">
        <f>(tblHistory[[#This Row],[Backlog ($m)]]-I4+tblHistory[[#This Row],[Revenue ($m)]])/tblHistory[[#This Row],[Revenue ($m)]]</f>
        <v>1.0981921629806368</v>
      </c>
      <c r="K5" s="2">
        <v>124.66</v>
      </c>
      <c r="L5" s="6">
        <f>1.5*tblHistory[[#This Row],[EBITDA ($m)]]</f>
        <v>2881.95</v>
      </c>
    </row>
    <row r="6" spans="1:12" x14ac:dyDescent="0.2">
      <c r="A6">
        <v>2024</v>
      </c>
      <c r="B6" s="5">
        <v>12172.2</v>
      </c>
      <c r="C6" s="5">
        <v>2185.6999999999998</v>
      </c>
      <c r="D6" s="5">
        <v>685.3</v>
      </c>
      <c r="E6" s="5">
        <v>1268.5999999999999</v>
      </c>
      <c r="F6" s="5">
        <v>681.4</v>
      </c>
      <c r="G6" s="5">
        <v>1381.9</v>
      </c>
      <c r="H6" s="5">
        <v>121.7</v>
      </c>
      <c r="I6" s="5">
        <v>15604</v>
      </c>
      <c r="J6" s="3">
        <f>(tblHistory[[#This Row],[Backlog ($m)]]-I5+tblHistory[[#This Row],[Revenue ($m)]])/tblHistory[[#This Row],[Revenue ($m)]]</f>
        <v>1.1254908726442221</v>
      </c>
      <c r="K6" s="2">
        <v>130.47999999999999</v>
      </c>
      <c r="L6" s="6">
        <f>1.5*tblHistory[[#This Row],[EBITDA ($m)]]</f>
        <v>3278.5499999999997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workbookViewId="0">
      <selection activeCell="H13" sqref="H13"/>
    </sheetView>
  </sheetViews>
  <sheetFormatPr baseColWidth="10" defaultColWidth="8.83203125" defaultRowHeight="15" x14ac:dyDescent="0.2"/>
  <cols>
    <col min="1" max="1" width="34" customWidth="1"/>
    <col min="2" max="4" width="14" customWidth="1"/>
    <col min="5" max="5" width="32" customWidth="1"/>
    <col min="6" max="7" width="15.6640625" bestFit="1" customWidth="1"/>
    <col min="8" max="8" width="12.83203125" bestFit="1" customWidth="1"/>
    <col min="9" max="10" width="12.5" bestFit="1" customWidth="1"/>
    <col min="11" max="11" width="10.1640625" bestFit="1" customWidth="1"/>
  </cols>
  <sheetData>
    <row r="1" spans="1:11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/>
      <c r="G1" s="1" t="s">
        <v>77</v>
      </c>
      <c r="H1" s="1" t="s">
        <v>78</v>
      </c>
      <c r="I1" s="1" t="s">
        <v>79</v>
      </c>
    </row>
    <row r="2" spans="1:11" x14ac:dyDescent="0.2">
      <c r="A2" t="s">
        <v>24</v>
      </c>
      <c r="B2">
        <v>7.0000000000000007E-2</v>
      </c>
      <c r="C2">
        <v>0.09</v>
      </c>
      <c r="D2">
        <v>0.04</v>
      </c>
      <c r="E2" t="s">
        <v>25</v>
      </c>
      <c r="F2">
        <v>2024</v>
      </c>
      <c r="G2" s="2">
        <v>12172.2</v>
      </c>
      <c r="H2" s="2">
        <v>2185.6999999999998</v>
      </c>
      <c r="I2">
        <f>H2/G2</f>
        <v>0.17956491020522172</v>
      </c>
    </row>
    <row r="3" spans="1:11" x14ac:dyDescent="0.2">
      <c r="A3" t="s">
        <v>76</v>
      </c>
      <c r="B3">
        <v>0.17499999999999999</v>
      </c>
      <c r="C3">
        <v>0.19</v>
      </c>
      <c r="D3">
        <v>0.16</v>
      </c>
      <c r="E3" t="s">
        <v>26</v>
      </c>
    </row>
    <row r="4" spans="1:11" x14ac:dyDescent="0.2">
      <c r="A4" t="s">
        <v>27</v>
      </c>
      <c r="B4">
        <v>2E-3</v>
      </c>
      <c r="C4">
        <v>4.0000000000000001E-3</v>
      </c>
      <c r="D4">
        <v>0</v>
      </c>
      <c r="E4" t="s">
        <v>28</v>
      </c>
    </row>
    <row r="5" spans="1:11" x14ac:dyDescent="0.2">
      <c r="A5" t="s">
        <v>29</v>
      </c>
      <c r="B5">
        <v>0.02</v>
      </c>
      <c r="C5">
        <v>0.02</v>
      </c>
      <c r="D5">
        <v>0.02</v>
      </c>
    </row>
    <row r="6" spans="1:11" x14ac:dyDescent="0.2">
      <c r="A6" t="s">
        <v>30</v>
      </c>
      <c r="B6">
        <v>1.4999999999999999E-2</v>
      </c>
      <c r="C6">
        <v>1.2E-2</v>
      </c>
      <c r="D6">
        <v>1.7999999999999999E-2</v>
      </c>
    </row>
    <row r="7" spans="1:11" x14ac:dyDescent="0.2">
      <c r="A7" t="s">
        <v>31</v>
      </c>
      <c r="B7">
        <v>0.25</v>
      </c>
      <c r="C7">
        <v>0.25</v>
      </c>
      <c r="D7">
        <v>0.25</v>
      </c>
    </row>
    <row r="8" spans="1:11" x14ac:dyDescent="0.2">
      <c r="A8" t="s">
        <v>32</v>
      </c>
      <c r="B8">
        <v>8.0000000000000002E-3</v>
      </c>
      <c r="C8">
        <v>6.0000000000000001E-3</v>
      </c>
      <c r="D8">
        <v>0.01</v>
      </c>
    </row>
    <row r="12" spans="1:11" x14ac:dyDescent="0.2">
      <c r="A12" s="1" t="s">
        <v>33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11</v>
      </c>
      <c r="G12" s="1" t="s">
        <v>34</v>
      </c>
      <c r="H12" s="1" t="s">
        <v>35</v>
      </c>
      <c r="I12" s="1" t="s">
        <v>14</v>
      </c>
      <c r="J12" s="1" t="s">
        <v>36</v>
      </c>
      <c r="K12" s="1" t="s">
        <v>37</v>
      </c>
    </row>
    <row r="13" spans="1:11" x14ac:dyDescent="0.2">
      <c r="A13" t="s">
        <v>20</v>
      </c>
      <c r="B13">
        <v>2025</v>
      </c>
      <c r="C13" s="7">
        <f>G2*(1+B2)</f>
        <v>13024.254000000001</v>
      </c>
      <c r="D13" s="7">
        <f>tblForecast[[#This Row],[Revenue ($m)]]*($B$3+$B$4*0)</f>
        <v>2279.2444500000001</v>
      </c>
      <c r="E13" s="7">
        <f>tblForecast[[#This Row],[Revenue ($m)]]*$B$5</f>
        <v>260.48508000000004</v>
      </c>
      <c r="F13" s="7">
        <f>tblForecast[[#This Row],[EBITDA ($m)]]-tblForecast[[#This Row],[D&amp;A ($m)]]</f>
        <v>2018.7593700000002</v>
      </c>
      <c r="G13" s="7">
        <f>tblForecast[[#This Row],[EBIT ($m)]]*$B$7</f>
        <v>504.68984250000005</v>
      </c>
      <c r="H13" s="7">
        <f>tblForecast[[#This Row],[EBIT ($m)]]-tblForecast[[#This Row],[Tax ($m)]]</f>
        <v>1514.0695275000003</v>
      </c>
      <c r="I13" s="7">
        <f>tblForecast[[#This Row],[Revenue ($m)]]*$B$6</f>
        <v>195.36381</v>
      </c>
      <c r="J13" s="7">
        <f>tblForecast[[#This Row],[Revenue ($m)]]*$B$8</f>
        <v>104.19403200000001</v>
      </c>
      <c r="K13" s="7">
        <f>tblForecast[[#This Row],[NOPAT ($m)]]+tblForecast[[#This Row],[D&amp;A ($m)]]-tblForecast[[#This Row],[Capex ($m)]]-tblForecast[[#This Row],[ΔNWC ($m)]]</f>
        <v>1474.9967655</v>
      </c>
    </row>
    <row r="14" spans="1:11" x14ac:dyDescent="0.2">
      <c r="A14" t="s">
        <v>20</v>
      </c>
      <c r="B14">
        <v>2026</v>
      </c>
      <c r="C14" s="7">
        <f>$C13*(1+$B$2)</f>
        <v>13935.951780000001</v>
      </c>
      <c r="D14" s="7">
        <f>tblForecast[[#This Row],[Revenue ($m)]]*($B$3+$B$4*1)</f>
        <v>2466.6634650599999</v>
      </c>
      <c r="E14" s="7">
        <f>tblForecast[[#This Row],[Revenue ($m)]]*$B$5</f>
        <v>278.71903560000004</v>
      </c>
      <c r="F14" s="7">
        <f>tblForecast[[#This Row],[EBITDA ($m)]]-tblForecast[[#This Row],[D&amp;A ($m)]]</f>
        <v>2187.9444294599998</v>
      </c>
      <c r="G14" s="7">
        <f>tblForecast[[#This Row],[EBIT ($m)]]*$B$7</f>
        <v>546.98610736499995</v>
      </c>
      <c r="H14" s="7">
        <f>tblForecast[[#This Row],[EBIT ($m)]]-tblForecast[[#This Row],[Tax ($m)]]</f>
        <v>1640.9583220949999</v>
      </c>
      <c r="I14" s="7">
        <f>tblForecast[[#This Row],[Revenue ($m)]]*$B$6</f>
        <v>209.03927670000002</v>
      </c>
      <c r="J14" s="7">
        <f>tblForecast[[#This Row],[Revenue ($m)]]*$B$8</f>
        <v>111.48761424000001</v>
      </c>
      <c r="K14" s="7">
        <f>tblForecast[[#This Row],[NOPAT ($m)]]+tblForecast[[#This Row],[D&amp;A ($m)]]-tblForecast[[#This Row],[Capex ($m)]]-tblForecast[[#This Row],[ΔNWC ($m)]]</f>
        <v>1599.1504667549998</v>
      </c>
    </row>
    <row r="15" spans="1:11" x14ac:dyDescent="0.2">
      <c r="A15" t="s">
        <v>20</v>
      </c>
      <c r="B15">
        <v>2027</v>
      </c>
      <c r="C15" s="7">
        <f>$C14*(1+$B$2)</f>
        <v>14911.468404600002</v>
      </c>
      <c r="D15" s="7">
        <f>tblForecast[[#This Row],[Revenue ($m)]]*($B$3+$B$4*2)</f>
        <v>2669.1528444234004</v>
      </c>
      <c r="E15" s="7">
        <f>tblForecast[[#This Row],[Revenue ($m)]]*$B$5</f>
        <v>298.22936809200007</v>
      </c>
      <c r="F15" s="7">
        <f>tblForecast[[#This Row],[EBITDA ($m)]]-tblForecast[[#This Row],[D&amp;A ($m)]]</f>
        <v>2370.9234763314003</v>
      </c>
      <c r="G15" s="7">
        <f>tblForecast[[#This Row],[EBIT ($m)]]*$B$7</f>
        <v>592.73086908285006</v>
      </c>
      <c r="H15" s="7">
        <f>tblForecast[[#This Row],[EBIT ($m)]]-tblForecast[[#This Row],[Tax ($m)]]</f>
        <v>1778.1926072485503</v>
      </c>
      <c r="I15" s="7">
        <f>tblForecast[[#This Row],[Revenue ($m)]]*$B$6</f>
        <v>223.67202606900003</v>
      </c>
      <c r="J15" s="7">
        <f>tblForecast[[#This Row],[Revenue ($m)]]*$B$8</f>
        <v>119.29174723680002</v>
      </c>
      <c r="K15" s="7">
        <f>tblForecast[[#This Row],[NOPAT ($m)]]+tblForecast[[#This Row],[D&amp;A ($m)]]-tblForecast[[#This Row],[Capex ($m)]]-tblForecast[[#This Row],[ΔNWC ($m)]]</f>
        <v>1733.4582020347505</v>
      </c>
    </row>
    <row r="16" spans="1:11" x14ac:dyDescent="0.2">
      <c r="A16" t="s">
        <v>20</v>
      </c>
      <c r="B16">
        <v>2028</v>
      </c>
      <c r="C16" s="7">
        <f>$C15*(1+$B$2)</f>
        <v>15955.271192922002</v>
      </c>
      <c r="D16" s="7">
        <f>tblForecast[[#This Row],[Revenue ($m)]]*($B$3+$B$4*3)</f>
        <v>2887.9040859188822</v>
      </c>
      <c r="E16" s="7">
        <f>tblForecast[[#This Row],[Revenue ($m)]]*$B$5</f>
        <v>319.10542385844008</v>
      </c>
      <c r="F16" s="7">
        <f>tblForecast[[#This Row],[EBITDA ($m)]]-tblForecast[[#This Row],[D&amp;A ($m)]]</f>
        <v>2568.798662060442</v>
      </c>
      <c r="G16" s="7">
        <f>tblForecast[[#This Row],[EBIT ($m)]]*$B$7</f>
        <v>642.1996655151105</v>
      </c>
      <c r="H16" s="7">
        <f>tblForecast[[#This Row],[EBIT ($m)]]-tblForecast[[#This Row],[Tax ($m)]]</f>
        <v>1926.5989965453314</v>
      </c>
      <c r="I16" s="7">
        <f>tblForecast[[#This Row],[Revenue ($m)]]*$B$6</f>
        <v>239.32906789383003</v>
      </c>
      <c r="J16" s="7">
        <f>tblForecast[[#This Row],[Revenue ($m)]]*$B$8</f>
        <v>127.64216954337601</v>
      </c>
      <c r="K16" s="7">
        <f>tblForecast[[#This Row],[NOPAT ($m)]]+tblForecast[[#This Row],[D&amp;A ($m)]]-tblForecast[[#This Row],[Capex ($m)]]-tblForecast[[#This Row],[ΔNWC ($m)]]</f>
        <v>1878.7331829665654</v>
      </c>
    </row>
    <row r="17" spans="1:11" x14ac:dyDescent="0.2">
      <c r="A17" t="s">
        <v>20</v>
      </c>
      <c r="B17">
        <v>2029</v>
      </c>
      <c r="C17" s="7">
        <f t="shared" ref="C17" si="0">$C16*(1+$B$2)</f>
        <v>17072.140176426543</v>
      </c>
      <c r="D17" s="7">
        <f>tblForecast[[#This Row],[Revenue ($m)]]*($B$3+$B$4*4)</f>
        <v>3124.2016522860572</v>
      </c>
      <c r="E17" s="7">
        <f>tblForecast[[#This Row],[Revenue ($m)]]*$B$5</f>
        <v>341.44280352853087</v>
      </c>
      <c r="F17" s="7">
        <f>tblForecast[[#This Row],[EBITDA ($m)]]-tblForecast[[#This Row],[D&amp;A ($m)]]</f>
        <v>2782.7588487575263</v>
      </c>
      <c r="G17" s="7">
        <f>tblForecast[[#This Row],[EBIT ($m)]]*$B$7</f>
        <v>695.68971218938157</v>
      </c>
      <c r="H17" s="7">
        <f>tblForecast[[#This Row],[EBIT ($m)]]-tblForecast[[#This Row],[Tax ($m)]]</f>
        <v>2087.0691365681446</v>
      </c>
      <c r="I17" s="7">
        <f>tblForecast[[#This Row],[Revenue ($m)]]*$B$6</f>
        <v>256.08210264639814</v>
      </c>
      <c r="J17" s="7">
        <f>tblForecast[[#This Row],[Revenue ($m)]]*$B$8</f>
        <v>136.57712141141235</v>
      </c>
      <c r="K17" s="7">
        <f>tblForecast[[#This Row],[NOPAT ($m)]]+tblForecast[[#This Row],[D&amp;A ($m)]]-tblForecast[[#This Row],[Capex ($m)]]-tblForecast[[#This Row],[ΔNWC ($m)]]</f>
        <v>2035.8527160388649</v>
      </c>
    </row>
    <row r="18" spans="1:11" x14ac:dyDescent="0.2">
      <c r="A18" t="s">
        <v>21</v>
      </c>
      <c r="B18">
        <v>2025</v>
      </c>
      <c r="C18" s="7">
        <f>$G$2*(1+$C$2)</f>
        <v>13267.698000000002</v>
      </c>
      <c r="D18" s="7">
        <f>tblForecast[[#This Row],[Revenue ($m)]]*($C$3+$C$4*0)</f>
        <v>2520.8626200000003</v>
      </c>
      <c r="E18" s="7">
        <f>tblForecast[[#This Row],[Revenue ($m)]]*$C$5</f>
        <v>265.35396000000003</v>
      </c>
      <c r="F18" s="7">
        <f>tblForecast[[#This Row],[EBITDA ($m)]]-tblForecast[[#This Row],[D&amp;A ($m)]]</f>
        <v>2255.5086600000004</v>
      </c>
      <c r="G18" s="7">
        <f>tblForecast[[#This Row],[EBIT ($m)]]*$C$7</f>
        <v>563.8771650000001</v>
      </c>
      <c r="H18" s="7">
        <f>tblForecast[[#This Row],[EBIT ($m)]]-tblForecast[[#This Row],[Tax ($m)]]</f>
        <v>1691.6314950000003</v>
      </c>
      <c r="I18" s="7">
        <f>tblForecast[[#This Row],[Revenue ($m)]]*$C$6</f>
        <v>159.21237600000003</v>
      </c>
      <c r="J18" s="7">
        <f>tblForecast[[#This Row],[Revenue ($m)]]*$C$8</f>
        <v>79.606188000000017</v>
      </c>
      <c r="K18" s="7">
        <f>tblForecast[[#This Row],[NOPAT ($m)]]+tblForecast[[#This Row],[D&amp;A ($m)]]-tblForecast[[#This Row],[Capex ($m)]]-tblForecast[[#This Row],[ΔNWC ($m)]]</f>
        <v>1718.1668910000005</v>
      </c>
    </row>
    <row r="19" spans="1:11" x14ac:dyDescent="0.2">
      <c r="A19" t="s">
        <v>21</v>
      </c>
      <c r="B19">
        <v>2026</v>
      </c>
      <c r="C19" s="7">
        <f>$C18*(1+$C$2)</f>
        <v>14461.790820000004</v>
      </c>
      <c r="D19" s="7">
        <f>tblForecast[[#This Row],[Revenue ($m)]]*($C$3+$C$4*1)</f>
        <v>2805.5874190800009</v>
      </c>
      <c r="E19" s="7">
        <f>tblForecast[[#This Row],[Revenue ($m)]]*$C$5</f>
        <v>289.23581640000009</v>
      </c>
      <c r="F19" s="7">
        <f>tblForecast[[#This Row],[EBITDA ($m)]]-tblForecast[[#This Row],[D&amp;A ($m)]]</f>
        <v>2516.3516026800007</v>
      </c>
      <c r="G19" s="7">
        <f>tblForecast[[#This Row],[EBIT ($m)]]*$C$7</f>
        <v>629.08790067000018</v>
      </c>
      <c r="H19" s="7">
        <f>tblForecast[[#This Row],[EBIT ($m)]]-tblForecast[[#This Row],[Tax ($m)]]</f>
        <v>1887.2637020100005</v>
      </c>
      <c r="I19" s="7">
        <f>tblForecast[[#This Row],[Revenue ($m)]]*$C$6</f>
        <v>173.54148984000005</v>
      </c>
      <c r="J19" s="7">
        <f>tblForecast[[#This Row],[Revenue ($m)]]*$C$8</f>
        <v>86.770744920000027</v>
      </c>
      <c r="K19" s="7">
        <f>tblForecast[[#This Row],[NOPAT ($m)]]+tblForecast[[#This Row],[D&amp;A ($m)]]-tblForecast[[#This Row],[Capex ($m)]]-tblForecast[[#This Row],[ΔNWC ($m)]]</f>
        <v>1916.1872836500008</v>
      </c>
    </row>
    <row r="20" spans="1:11" x14ac:dyDescent="0.2">
      <c r="A20" t="s">
        <v>21</v>
      </c>
      <c r="B20">
        <v>2027</v>
      </c>
      <c r="C20" s="7">
        <f t="shared" ref="C20:C22" si="1">$C19*(1+$C$2)</f>
        <v>15763.351993800004</v>
      </c>
      <c r="D20" s="7">
        <f>tblForecast[[#This Row],[Revenue ($m)]]*($C$3+$C$4*2)</f>
        <v>3121.143694772401</v>
      </c>
      <c r="E20" s="7">
        <f>tblForecast[[#This Row],[Revenue ($m)]]*$C$5</f>
        <v>315.26703987600007</v>
      </c>
      <c r="F20" s="7">
        <f>tblForecast[[#This Row],[EBITDA ($m)]]-tblForecast[[#This Row],[D&amp;A ($m)]]</f>
        <v>2805.8766548964009</v>
      </c>
      <c r="G20" s="7">
        <f>tblForecast[[#This Row],[EBIT ($m)]]*$C$7</f>
        <v>701.46916372410021</v>
      </c>
      <c r="H20" s="7">
        <f>tblForecast[[#This Row],[EBIT ($m)]]-tblForecast[[#This Row],[Tax ($m)]]</f>
        <v>2104.4074911723005</v>
      </c>
      <c r="I20" s="7">
        <f>tblForecast[[#This Row],[Revenue ($m)]]*$C$6</f>
        <v>189.16022392560006</v>
      </c>
      <c r="J20" s="7">
        <f>tblForecast[[#This Row],[Revenue ($m)]]*$C$8</f>
        <v>94.580111962800032</v>
      </c>
      <c r="K20" s="7">
        <f>tblForecast[[#This Row],[NOPAT ($m)]]+tblForecast[[#This Row],[D&amp;A ($m)]]-tblForecast[[#This Row],[Capex ($m)]]-tblForecast[[#This Row],[ΔNWC ($m)]]</f>
        <v>2135.9341951599008</v>
      </c>
    </row>
    <row r="21" spans="1:11" x14ac:dyDescent="0.2">
      <c r="A21" t="s">
        <v>21</v>
      </c>
      <c r="B21">
        <v>2028</v>
      </c>
      <c r="C21" s="7">
        <f t="shared" si="1"/>
        <v>17182.053673242008</v>
      </c>
      <c r="D21" s="7">
        <f>tblForecast[[#This Row],[Revenue ($m)]]*($C$3+$C$4*3)</f>
        <v>3470.7748419948857</v>
      </c>
      <c r="E21" s="7">
        <f>tblForecast[[#This Row],[Revenue ($m)]]*$C$5</f>
        <v>343.64107346484019</v>
      </c>
      <c r="F21" s="7">
        <f>tblForecast[[#This Row],[EBITDA ($m)]]-tblForecast[[#This Row],[D&amp;A ($m)]]</f>
        <v>3127.1337685300455</v>
      </c>
      <c r="G21" s="7">
        <f>tblForecast[[#This Row],[EBIT ($m)]]*$C$7</f>
        <v>781.78344213251137</v>
      </c>
      <c r="H21" s="7">
        <f>tblForecast[[#This Row],[EBIT ($m)]]-tblForecast[[#This Row],[Tax ($m)]]</f>
        <v>2345.350326397534</v>
      </c>
      <c r="I21" s="7">
        <f>tblForecast[[#This Row],[Revenue ($m)]]*$C$6</f>
        <v>206.18464407890409</v>
      </c>
      <c r="J21" s="7">
        <f>tblForecast[[#This Row],[Revenue ($m)]]*$C$8</f>
        <v>103.09232203945204</v>
      </c>
      <c r="K21" s="7">
        <f>tblForecast[[#This Row],[NOPAT ($m)]]+tblForecast[[#This Row],[D&amp;A ($m)]]-tblForecast[[#This Row],[Capex ($m)]]-tblForecast[[#This Row],[ΔNWC ($m)]]</f>
        <v>2379.7144337440182</v>
      </c>
    </row>
    <row r="22" spans="1:11" x14ac:dyDescent="0.2">
      <c r="A22" t="s">
        <v>21</v>
      </c>
      <c r="B22">
        <v>2029</v>
      </c>
      <c r="C22" s="7">
        <f>$C21*(1+$C$2)</f>
        <v>18728.43850383379</v>
      </c>
      <c r="D22" s="7">
        <f>tblForecast[[#This Row],[Revenue ($m)]]*($C$3+$C$4*4)</f>
        <v>3858.0583317897608</v>
      </c>
      <c r="E22" s="7">
        <f>tblForecast[[#This Row],[Revenue ($m)]]*$C$5</f>
        <v>374.56877007667578</v>
      </c>
      <c r="F22" s="7">
        <f>tblForecast[[#This Row],[EBITDA ($m)]]-tblForecast[[#This Row],[D&amp;A ($m)]]</f>
        <v>3483.4895617130851</v>
      </c>
      <c r="G22" s="7">
        <f>tblForecast[[#This Row],[EBIT ($m)]]*$C$7</f>
        <v>870.87239042827127</v>
      </c>
      <c r="H22" s="7">
        <f>tblForecast[[#This Row],[EBIT ($m)]]-tblForecast[[#This Row],[Tax ($m)]]</f>
        <v>2612.6171712848136</v>
      </c>
      <c r="I22" s="7">
        <f>tblForecast[[#This Row],[Revenue ($m)]]*$C$6</f>
        <v>224.74126204600549</v>
      </c>
      <c r="J22" s="7">
        <f>tblForecast[[#This Row],[Revenue ($m)]]*$C$8</f>
        <v>112.37063102300274</v>
      </c>
      <c r="K22" s="7">
        <f>tblForecast[[#This Row],[NOPAT ($m)]]+tblForecast[[#This Row],[D&amp;A ($m)]]-tblForecast[[#This Row],[Capex ($m)]]-tblForecast[[#This Row],[ΔNWC ($m)]]</f>
        <v>2650.0740482924812</v>
      </c>
    </row>
    <row r="23" spans="1:11" x14ac:dyDescent="0.2">
      <c r="A23" t="s">
        <v>22</v>
      </c>
      <c r="B23">
        <v>2025</v>
      </c>
      <c r="C23" s="7">
        <f>$G$2*(1+$D$2)</f>
        <v>12659.088000000002</v>
      </c>
      <c r="D23" s="7">
        <f>tblForecast[[#This Row],[Revenue ($m)]]*($D$3+$D$4*0)</f>
        <v>2025.4540800000002</v>
      </c>
      <c r="E23" s="7">
        <f>tblForecast[[#This Row],[Revenue ($m)]]*$D$5</f>
        <v>253.18176000000003</v>
      </c>
      <c r="F23" s="7">
        <f>tblForecast[[#This Row],[EBITDA ($m)]]-tblForecast[[#This Row],[D&amp;A ($m)]]</f>
        <v>1772.2723200000003</v>
      </c>
      <c r="G23" s="7">
        <f>tblForecast[[#This Row],[EBIT ($m)]]*$D$7</f>
        <v>443.06808000000007</v>
      </c>
      <c r="H23" s="7">
        <f>tblForecast[[#This Row],[EBIT ($m)]]-tblForecast[[#This Row],[Tax ($m)]]</f>
        <v>1329.2042400000003</v>
      </c>
      <c r="I23" s="7">
        <f>tblForecast[[#This Row],[Revenue ($m)]]*$D$6</f>
        <v>227.863584</v>
      </c>
      <c r="J23" s="7">
        <f>tblForecast[[#This Row],[Revenue ($m)]]*$D$8</f>
        <v>126.59088000000001</v>
      </c>
      <c r="K23" s="7">
        <f>tblForecast[[#This Row],[NOPAT ($m)]]+tblForecast[[#This Row],[D&amp;A ($m)]]-tblForecast[[#This Row],[Capex ($m)]]-tblForecast[[#This Row],[ΔNWC ($m)]]</f>
        <v>1227.9315360000003</v>
      </c>
    </row>
    <row r="24" spans="1:11" x14ac:dyDescent="0.2">
      <c r="A24" t="s">
        <v>22</v>
      </c>
      <c r="B24">
        <v>2026</v>
      </c>
      <c r="C24" s="7">
        <f>$C23*(1+$D$2)</f>
        <v>13165.451520000002</v>
      </c>
      <c r="D24" s="7">
        <f>tblForecast[[#This Row],[Revenue ($m)]]*($D$3+$D$4*1)</f>
        <v>2106.4722432000003</v>
      </c>
      <c r="E24" s="7">
        <f>tblForecast[[#This Row],[Revenue ($m)]]*$D$5</f>
        <v>263.30903040000004</v>
      </c>
      <c r="F24" s="7">
        <f>tblForecast[[#This Row],[EBITDA ($m)]]-tblForecast[[#This Row],[D&amp;A ($m)]]</f>
        <v>1843.1632128000003</v>
      </c>
      <c r="G24" s="7">
        <f>tblForecast[[#This Row],[EBIT ($m)]]*$D$7</f>
        <v>460.79080320000008</v>
      </c>
      <c r="H24" s="7">
        <f>tblForecast[[#This Row],[EBIT ($m)]]-tblForecast[[#This Row],[Tax ($m)]]</f>
        <v>1382.3724096000003</v>
      </c>
      <c r="I24" s="7">
        <f>tblForecast[[#This Row],[Revenue ($m)]]*$D$6</f>
        <v>236.97812736000003</v>
      </c>
      <c r="J24" s="7">
        <f>tblForecast[[#This Row],[Revenue ($m)]]*$D$8</f>
        <v>131.65451520000002</v>
      </c>
      <c r="K24" s="7">
        <f>tblForecast[[#This Row],[NOPAT ($m)]]+tblForecast[[#This Row],[D&amp;A ($m)]]-tblForecast[[#This Row],[Capex ($m)]]-tblForecast[[#This Row],[ΔNWC ($m)]]</f>
        <v>1277.04879744</v>
      </c>
    </row>
    <row r="25" spans="1:11" x14ac:dyDescent="0.2">
      <c r="A25" t="s">
        <v>22</v>
      </c>
      <c r="B25">
        <v>2027</v>
      </c>
      <c r="C25" s="7">
        <f>$C24*(1+$D$2)</f>
        <v>13692.069580800004</v>
      </c>
      <c r="D25" s="7">
        <f>tblForecast[[#This Row],[Revenue ($m)]]*($D$3+$D$4*2)</f>
        <v>2190.7311329280005</v>
      </c>
      <c r="E25" s="7">
        <f>tblForecast[[#This Row],[Revenue ($m)]]*$D$5</f>
        <v>273.84139161600007</v>
      </c>
      <c r="F25" s="7">
        <f>tblForecast[[#This Row],[EBITDA ($m)]]-tblForecast[[#This Row],[D&amp;A ($m)]]</f>
        <v>1916.8897413120005</v>
      </c>
      <c r="G25" s="7">
        <f>tblForecast[[#This Row],[EBIT ($m)]]*$D$7</f>
        <v>479.22243532800013</v>
      </c>
      <c r="H25" s="7">
        <f>tblForecast[[#This Row],[EBIT ($m)]]-tblForecast[[#This Row],[Tax ($m)]]</f>
        <v>1437.6673059840004</v>
      </c>
      <c r="I25" s="7">
        <f>tblForecast[[#This Row],[Revenue ($m)]]*$D$6</f>
        <v>246.45725245440005</v>
      </c>
      <c r="J25" s="7">
        <f>tblForecast[[#This Row],[Revenue ($m)]]*$D$8</f>
        <v>136.92069580800003</v>
      </c>
      <c r="K25" s="7">
        <f>tblForecast[[#This Row],[NOPAT ($m)]]+tblForecast[[#This Row],[D&amp;A ($m)]]-tblForecast[[#This Row],[Capex ($m)]]-tblForecast[[#This Row],[ΔNWC ($m)]]</f>
        <v>1328.1307493376003</v>
      </c>
    </row>
    <row r="26" spans="1:11" x14ac:dyDescent="0.2">
      <c r="A26" t="s">
        <v>22</v>
      </c>
      <c r="B26">
        <v>2028</v>
      </c>
      <c r="C26" s="7">
        <f>$C25*(1+$D$2)</f>
        <v>14239.752364032005</v>
      </c>
      <c r="D26" s="7">
        <f>tblForecast[[#This Row],[Revenue ($m)]]*($D$3+$D$4*3)</f>
        <v>2278.360378245121</v>
      </c>
      <c r="E26" s="7">
        <f>tblForecast[[#This Row],[Revenue ($m)]]*$D$5</f>
        <v>284.79504728064012</v>
      </c>
      <c r="F26" s="7">
        <f>tblForecast[[#This Row],[EBITDA ($m)]]-tblForecast[[#This Row],[D&amp;A ($m)]]</f>
        <v>1993.5653309644808</v>
      </c>
      <c r="G26" s="7">
        <f>tblForecast[[#This Row],[EBIT ($m)]]*$D$7</f>
        <v>498.39133274112021</v>
      </c>
      <c r="H26" s="7">
        <f>tblForecast[[#This Row],[EBIT ($m)]]-tblForecast[[#This Row],[Tax ($m)]]</f>
        <v>1495.1739982233607</v>
      </c>
      <c r="I26" s="7">
        <f>tblForecast[[#This Row],[Revenue ($m)]]*$D$6</f>
        <v>256.31554255257606</v>
      </c>
      <c r="J26" s="7">
        <f>tblForecast[[#This Row],[Revenue ($m)]]*$D$8</f>
        <v>142.39752364032006</v>
      </c>
      <c r="K26" s="7">
        <f>tblForecast[[#This Row],[NOPAT ($m)]]+tblForecast[[#This Row],[D&amp;A ($m)]]-tblForecast[[#This Row],[Capex ($m)]]-tblForecast[[#This Row],[ΔNWC ($m)]]</f>
        <v>1381.2559793111047</v>
      </c>
    </row>
    <row r="27" spans="1:11" x14ac:dyDescent="0.2">
      <c r="A27" t="s">
        <v>22</v>
      </c>
      <c r="B27">
        <v>2029</v>
      </c>
      <c r="C27" s="7">
        <f>$C26*(1+$D$2)</f>
        <v>14809.342458593286</v>
      </c>
      <c r="D27" s="7">
        <f>tblForecast[[#This Row],[Revenue ($m)]]*($D$3+$D$4*4)</f>
        <v>2369.4947933749258</v>
      </c>
      <c r="E27" s="7">
        <f>tblForecast[[#This Row],[Revenue ($m)]]*$D$5</f>
        <v>296.18684917186573</v>
      </c>
      <c r="F27" s="7">
        <f>tblForecast[[#This Row],[EBITDA ($m)]]-tblForecast[[#This Row],[D&amp;A ($m)]]</f>
        <v>2073.3079442030603</v>
      </c>
      <c r="G27" s="7">
        <f>tblForecast[[#This Row],[EBIT ($m)]]*$D$7</f>
        <v>518.32698605076507</v>
      </c>
      <c r="H27" s="7">
        <f>tblForecast[[#This Row],[EBIT ($m)]]-tblForecast[[#This Row],[Tax ($m)]]</f>
        <v>1554.9809581522952</v>
      </c>
      <c r="I27" s="7">
        <f>tblForecast[[#This Row],[Revenue ($m)]]*$D$6</f>
        <v>266.56816425467912</v>
      </c>
      <c r="J27" s="7">
        <f>tblForecast[[#This Row],[Revenue ($m)]]*$D$8</f>
        <v>148.09342458593287</v>
      </c>
      <c r="K27" s="7">
        <f>tblForecast[[#This Row],[NOPAT ($m)]]+tblForecast[[#This Row],[D&amp;A ($m)]]-tblForecast[[#This Row],[Capex ($m)]]-tblForecast[[#This Row],[ΔNWC ($m)]]</f>
        <v>1436.506218483549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7"/>
  <sheetViews>
    <sheetView tabSelected="1" topLeftCell="A13" workbookViewId="0">
      <selection activeCell="A25" sqref="A25:F25"/>
    </sheetView>
  </sheetViews>
  <sheetFormatPr baseColWidth="10" defaultColWidth="8.83203125" defaultRowHeight="15" x14ac:dyDescent="0.2"/>
  <cols>
    <col min="1" max="1" width="25.83203125" bestFit="1" customWidth="1"/>
    <col min="2" max="2" width="20.6640625" bestFit="1" customWidth="1"/>
    <col min="3" max="3" width="36" customWidth="1"/>
    <col min="4" max="4" width="19.83203125" bestFit="1" customWidth="1"/>
    <col min="5" max="5" width="14.83203125" bestFit="1" customWidth="1"/>
    <col min="6" max="6" width="10.6640625" bestFit="1" customWidth="1"/>
    <col min="8" max="8" width="10" bestFit="1" customWidth="1"/>
    <col min="9" max="9" width="14.5" bestFit="1" customWidth="1"/>
    <col min="10" max="10" width="11.1640625" bestFit="1" customWidth="1"/>
    <col min="11" max="11" width="13.33203125" bestFit="1" customWidth="1"/>
    <col min="12" max="12" width="21" bestFit="1" customWidth="1"/>
    <col min="13" max="13" width="19.6640625" bestFit="1" customWidth="1"/>
    <col min="14" max="14" width="20.1640625" bestFit="1" customWidth="1"/>
  </cols>
  <sheetData>
    <row r="1" spans="1:4" x14ac:dyDescent="0.2">
      <c r="A1" s="8" t="s">
        <v>43</v>
      </c>
      <c r="B1" s="8" t="s">
        <v>44</v>
      </c>
      <c r="C1" s="1" t="s">
        <v>23</v>
      </c>
    </row>
    <row r="2" spans="1:4" x14ac:dyDescent="0.2">
      <c r="A2" s="9" t="s">
        <v>45</v>
      </c>
      <c r="B2" s="9">
        <v>7.4999999999999997E-2</v>
      </c>
      <c r="C2" t="s">
        <v>46</v>
      </c>
    </row>
    <row r="3" spans="1:4" x14ac:dyDescent="0.2">
      <c r="A3" s="9" t="s">
        <v>47</v>
      </c>
      <c r="B3" s="9">
        <v>0.02</v>
      </c>
    </row>
    <row r="4" spans="1:4" x14ac:dyDescent="0.2">
      <c r="A4" s="9" t="s">
        <v>18</v>
      </c>
      <c r="B4" s="10">
        <v>3278.6</v>
      </c>
      <c r="C4" t="s">
        <v>80</v>
      </c>
    </row>
    <row r="5" spans="1:4" x14ac:dyDescent="0.2">
      <c r="A5" s="9" t="s">
        <v>17</v>
      </c>
      <c r="B5" s="9">
        <v>130.47999999999999</v>
      </c>
      <c r="C5" t="s">
        <v>80</v>
      </c>
    </row>
    <row r="10" spans="1:4" x14ac:dyDescent="0.2">
      <c r="A10" s="1"/>
      <c r="B10" s="11" t="s">
        <v>49</v>
      </c>
      <c r="C10" s="11" t="s">
        <v>81</v>
      </c>
      <c r="D10" s="11" t="s">
        <v>82</v>
      </c>
    </row>
    <row r="11" spans="1:4" x14ac:dyDescent="0.2">
      <c r="A11" t="s">
        <v>38</v>
      </c>
      <c r="B11" s="12">
        <v>1475</v>
      </c>
      <c r="C11" s="2">
        <v>1718.17</v>
      </c>
      <c r="D11" s="2">
        <v>1227.93</v>
      </c>
    </row>
    <row r="12" spans="1:4" x14ac:dyDescent="0.2">
      <c r="A12" t="s">
        <v>39</v>
      </c>
      <c r="B12" s="12">
        <f>1599.15</f>
        <v>1599.15</v>
      </c>
      <c r="C12" s="2">
        <v>1916.19</v>
      </c>
      <c r="D12" s="2">
        <v>1277.05</v>
      </c>
    </row>
    <row r="13" spans="1:4" x14ac:dyDescent="0.2">
      <c r="A13" t="s">
        <v>40</v>
      </c>
      <c r="B13" s="12">
        <f>1733.46</f>
        <v>1733.46</v>
      </c>
      <c r="C13" s="2">
        <v>2135.9299999999998</v>
      </c>
      <c r="D13" s="2">
        <v>1328.13</v>
      </c>
    </row>
    <row r="14" spans="1:4" x14ac:dyDescent="0.2">
      <c r="A14" t="s">
        <v>41</v>
      </c>
      <c r="B14" s="12">
        <f>1878.73</f>
        <v>1878.73</v>
      </c>
      <c r="C14" s="2">
        <v>2379.71</v>
      </c>
      <c r="D14" s="2">
        <v>1381.26</v>
      </c>
    </row>
    <row r="15" spans="1:4" x14ac:dyDescent="0.2">
      <c r="A15" t="s">
        <v>42</v>
      </c>
      <c r="B15" s="12">
        <f>2035.85</f>
        <v>2035.85</v>
      </c>
      <c r="C15" s="2">
        <v>2650.07</v>
      </c>
      <c r="D15" s="2">
        <v>1436.51</v>
      </c>
    </row>
    <row r="16" spans="1:4" x14ac:dyDescent="0.2">
      <c r="B16" s="11" t="s">
        <v>49</v>
      </c>
      <c r="C16" s="11" t="s">
        <v>81</v>
      </c>
      <c r="D16" s="11" t="s">
        <v>82</v>
      </c>
    </row>
    <row r="17" spans="1:14" x14ac:dyDescent="0.2">
      <c r="A17" s="1" t="s">
        <v>50</v>
      </c>
      <c r="B17" s="7">
        <f>B11/(1+$B$2)^1 + B12/(1+$B$2)^2 + B13/(1+$B$2)^3 + B14/(1+$B$2)^4 + B15/(1+$B$2)^5</f>
        <v>6976.139529890811</v>
      </c>
      <c r="C17" s="7">
        <f>C$11/(1+$B$2)^1 + C$12/(1+$B$2)^2 + C$13/(1+$B$2)^3 + C$14/(1+$B$2)^4 + C$15/(1+$B$2)^5</f>
        <v>8603.6360454127134</v>
      </c>
      <c r="D17" s="7">
        <f>D$11/(1+$B$2)^1 + D$12/(1+$B$2)^2 + D$13/(1+$B$2)^3 + D$14/(1+$B$2)^4 + D$15/(1+$B$2)^5</f>
        <v>5351.3274194544056</v>
      </c>
    </row>
    <row r="18" spans="1:14" x14ac:dyDescent="0.2">
      <c r="A18" s="1" t="s">
        <v>51</v>
      </c>
      <c r="B18" s="2">
        <f>B15*(1+$B$3)/($B$2-$B$3)</f>
        <v>37755.763636363641</v>
      </c>
      <c r="C18" s="7">
        <f>C$15*(1+$B$3)/($B$2-$B$3)</f>
        <v>49146.752727272738</v>
      </c>
      <c r="D18" s="7">
        <f>D$15*(1+$B$3)/($B$2-$B$3)</f>
        <v>26640.730909090911</v>
      </c>
    </row>
    <row r="19" spans="1:14" x14ac:dyDescent="0.2">
      <c r="A19" s="1" t="s">
        <v>52</v>
      </c>
      <c r="B19" s="2">
        <f>B18/(1+$B$2)^5</f>
        <v>26299.103081879708</v>
      </c>
      <c r="C19" s="7">
        <f>C$18/(1+$B$2)^5</f>
        <v>34233.59486415844</v>
      </c>
      <c r="D19" s="7">
        <f>D$18/(1+$B$2)^5</f>
        <v>18556.831086843831</v>
      </c>
    </row>
    <row r="20" spans="1:14" x14ac:dyDescent="0.2">
      <c r="A20" s="1" t="s">
        <v>53</v>
      </c>
      <c r="B20" s="2">
        <f>B17+B19</f>
        <v>33275.242611770518</v>
      </c>
      <c r="C20" s="7">
        <f>C$17+C$19</f>
        <v>42837.230909571153</v>
      </c>
      <c r="D20" s="7">
        <f>D$17+D$19</f>
        <v>23908.158506298238</v>
      </c>
    </row>
    <row r="21" spans="1:14" x14ac:dyDescent="0.2">
      <c r="A21" s="1" t="s">
        <v>54</v>
      </c>
      <c r="B21" s="7">
        <f>B$20-B$22</f>
        <v>3278.5999999999985</v>
      </c>
      <c r="C21" s="7">
        <f t="shared" ref="C21:D21" si="0">C$20-C$22</f>
        <v>3278.5999999999985</v>
      </c>
      <c r="D21" s="7">
        <f t="shared" si="0"/>
        <v>3278.5999999999985</v>
      </c>
    </row>
    <row r="22" spans="1:14" x14ac:dyDescent="0.2">
      <c r="A22" s="1" t="s">
        <v>55</v>
      </c>
      <c r="B22" s="2">
        <f>B$20-$B$4</f>
        <v>29996.64261177052</v>
      </c>
      <c r="C22" s="2">
        <f t="shared" ref="C22:D22" si="1">C$20-$B$4</f>
        <v>39558.630909571155</v>
      </c>
      <c r="D22" s="2">
        <f t="shared" si="1"/>
        <v>20629.558506298239</v>
      </c>
    </row>
    <row r="23" spans="1:14" x14ac:dyDescent="0.2">
      <c r="A23" s="1" t="s">
        <v>56</v>
      </c>
      <c r="B23" s="2">
        <f>B$22/$B$5</f>
        <v>229.89456324165022</v>
      </c>
      <c r="C23" s="2">
        <f t="shared" ref="C23:D23" si="2">C$22/$B$5</f>
        <v>303.17773535845464</v>
      </c>
      <c r="D23" s="2">
        <f t="shared" si="2"/>
        <v>158.10513876684735</v>
      </c>
    </row>
    <row r="25" spans="1:14" ht="16" x14ac:dyDescent="0.2">
      <c r="A25" s="24" t="s">
        <v>87</v>
      </c>
      <c r="B25" s="24"/>
      <c r="C25" s="24"/>
      <c r="D25" s="24"/>
      <c r="E25" s="24"/>
      <c r="F25" s="24"/>
    </row>
    <row r="26" spans="1:14" x14ac:dyDescent="0.2">
      <c r="A26" s="1"/>
      <c r="B26" s="11"/>
      <c r="C26" s="22" t="s">
        <v>83</v>
      </c>
      <c r="D26" s="22"/>
      <c r="E26" s="22"/>
      <c r="F26" s="22"/>
    </row>
    <row r="27" spans="1:14" x14ac:dyDescent="0.2">
      <c r="B27" s="16">
        <f>B23</f>
        <v>229.89456324165022</v>
      </c>
      <c r="C27" s="17">
        <v>6.5000000000000002E-2</v>
      </c>
      <c r="D27" s="18">
        <v>7.0000000000000007E-2</v>
      </c>
      <c r="E27" s="17">
        <v>7.4999999999999997E-2</v>
      </c>
      <c r="F27" s="18">
        <v>0.08</v>
      </c>
      <c r="L27" s="11" t="s">
        <v>49</v>
      </c>
      <c r="M27" s="11" t="s">
        <v>81</v>
      </c>
      <c r="N27" s="11" t="s">
        <v>82</v>
      </c>
    </row>
    <row r="28" spans="1:14" x14ac:dyDescent="0.2">
      <c r="A28" s="11" t="s">
        <v>84</v>
      </c>
      <c r="B28" s="19">
        <v>0.01</v>
      </c>
      <c r="C28" s="2">
        <f t="dataTable" ref="C28:F33" dt2D="1" dtr="1" r1="B2" r2="B3"/>
        <v>238.9996398164198</v>
      </c>
      <c r="D28" s="2">
        <v>216.35981257972972</v>
      </c>
      <c r="E28" s="2">
        <v>197.21381998179345</v>
      </c>
      <c r="F28" s="2">
        <v>180.81274074975042</v>
      </c>
      <c r="K28" s="1" t="s">
        <v>56</v>
      </c>
      <c r="L28" s="2">
        <v>229.89</v>
      </c>
      <c r="M28" s="2">
        <f>303.18</f>
        <v>303.18</v>
      </c>
      <c r="N28" s="2">
        <f>158.11</f>
        <v>158.11000000000001</v>
      </c>
    </row>
    <row r="29" spans="1:14" x14ac:dyDescent="0.2">
      <c r="A29" s="15"/>
      <c r="B29" s="20">
        <v>1.4999999999999999E-2</v>
      </c>
      <c r="C29" s="2">
        <v>261.05127036374461</v>
      </c>
      <c r="D29" s="2">
        <v>234.39508812929679</v>
      </c>
      <c r="E29" s="2">
        <v>212.19249397589445</v>
      </c>
      <c r="F29" s="2">
        <v>193.4154934415499</v>
      </c>
    </row>
    <row r="30" spans="1:14" x14ac:dyDescent="0.2">
      <c r="A30" s="14"/>
      <c r="B30" s="19">
        <v>0.02</v>
      </c>
      <c r="C30" s="2">
        <v>288.00326325491932</v>
      </c>
      <c r="D30" s="2">
        <v>256.03741878877719</v>
      </c>
      <c r="E30" s="2">
        <v>229.89456324165022</v>
      </c>
      <c r="F30" s="2">
        <v>208.11870491531604</v>
      </c>
    </row>
    <row r="31" spans="1:14" x14ac:dyDescent="0.2">
      <c r="A31" s="15"/>
      <c r="B31" s="20">
        <v>2.5000000000000001E-2</v>
      </c>
      <c r="C31" s="2">
        <v>321.69325436888761</v>
      </c>
      <c r="D31" s="2">
        <v>282.48915626147544</v>
      </c>
      <c r="E31" s="2">
        <v>251.13704636055706</v>
      </c>
      <c r="F31" s="2">
        <v>225.49522756613047</v>
      </c>
    </row>
    <row r="32" spans="1:14" x14ac:dyDescent="0.2">
      <c r="A32" s="14"/>
      <c r="B32" s="19">
        <v>0.03</v>
      </c>
      <c r="C32" s="2">
        <v>365.00895722970409</v>
      </c>
      <c r="D32" s="2">
        <v>315.55382810234835</v>
      </c>
      <c r="E32" s="2">
        <v>277.10008128366542</v>
      </c>
      <c r="F32" s="2">
        <v>246.34705474710782</v>
      </c>
    </row>
    <row r="33" spans="1:6" x14ac:dyDescent="0.2">
      <c r="A33" s="15"/>
      <c r="B33" s="21">
        <v>3.5000000000000003E-2</v>
      </c>
      <c r="C33" s="2">
        <v>422.76322771079271</v>
      </c>
      <c r="D33" s="2">
        <v>358.06554904061352</v>
      </c>
      <c r="E33" s="2">
        <v>309.55387493755097</v>
      </c>
      <c r="F33" s="2">
        <v>271.83262130163575</v>
      </c>
    </row>
    <row r="34" spans="1:6" x14ac:dyDescent="0.2">
      <c r="A34" s="14"/>
      <c r="B34" s="14"/>
      <c r="C34" s="2"/>
      <c r="D34" s="2"/>
      <c r="E34" s="2"/>
      <c r="F34" s="2"/>
    </row>
    <row r="36" spans="1:6" x14ac:dyDescent="0.2">
      <c r="A36" s="11" t="s">
        <v>85</v>
      </c>
    </row>
    <row r="37" spans="1:6" x14ac:dyDescent="0.2">
      <c r="B37" s="23">
        <f>C23</f>
        <v>303.17773535845464</v>
      </c>
      <c r="C37" s="20">
        <v>6.5000000000000002E-2</v>
      </c>
      <c r="D37" s="19">
        <v>7.0000000000000007E-2</v>
      </c>
      <c r="E37" s="20">
        <v>7.4999999999999997E-2</v>
      </c>
      <c r="F37" s="19">
        <v>0.08</v>
      </c>
    </row>
    <row r="38" spans="1:6" x14ac:dyDescent="0.2">
      <c r="B38" s="19">
        <v>0.01</v>
      </c>
      <c r="C38" s="2">
        <f t="dataTable" ref="C38:F43" dt2D="1" dtr="1" r1="B2" r2="B3" ca="1"/>
        <v>314.9600878523849</v>
      </c>
      <c r="D38" s="2">
        <v>285.52493851649456</v>
      </c>
      <c r="E38" s="2">
        <v>260.63714676369142</v>
      </c>
      <c r="F38" s="2">
        <v>239.32185302893544</v>
      </c>
    </row>
    <row r="39" spans="1:6" x14ac:dyDescent="0.2">
      <c r="B39" s="20">
        <v>1.4999999999999999E-2</v>
      </c>
      <c r="C39" s="2">
        <v>343.66473925820986</v>
      </c>
      <c r="D39" s="2">
        <v>309.00149262197431</v>
      </c>
      <c r="E39" s="2">
        <v>280.1349165362912</v>
      </c>
      <c r="F39" s="2">
        <v>255.72688130997628</v>
      </c>
    </row>
    <row r="40" spans="1:6" x14ac:dyDescent="0.2">
      <c r="B40" s="19">
        <v>0.02</v>
      </c>
      <c r="C40" s="2">
        <v>378.74820208755165</v>
      </c>
      <c r="D40" s="2">
        <v>337.1733575485502</v>
      </c>
      <c r="E40" s="2">
        <v>303.17773535845464</v>
      </c>
      <c r="F40" s="2">
        <v>274.8660809711908</v>
      </c>
    </row>
    <row r="41" spans="1:6" x14ac:dyDescent="0.2">
      <c r="B41" s="20">
        <v>2.5000000000000001E-2</v>
      </c>
      <c r="C41" s="2">
        <v>422.60253062422873</v>
      </c>
      <c r="D41" s="2">
        <v>371.60563690325387</v>
      </c>
      <c r="E41" s="2">
        <v>330.82911794505065</v>
      </c>
      <c r="F41" s="2">
        <v>297.48513511626226</v>
      </c>
    </row>
    <row r="42" spans="1:6" x14ac:dyDescent="0.2">
      <c r="B42" s="19">
        <v>0.03</v>
      </c>
      <c r="C42" s="2">
        <v>478.98666731424225</v>
      </c>
      <c r="D42" s="2">
        <v>414.64598609663352</v>
      </c>
      <c r="E42" s="2">
        <v>364.62525221755692</v>
      </c>
      <c r="F42" s="2">
        <v>324.62800009034811</v>
      </c>
    </row>
    <row r="43" spans="1:6" x14ac:dyDescent="0.2">
      <c r="B43" s="20">
        <v>3.5000000000000003E-2</v>
      </c>
      <c r="C43" s="2">
        <v>554.16551623426005</v>
      </c>
      <c r="D43" s="2">
        <v>469.98357791669321</v>
      </c>
      <c r="E43" s="2">
        <v>406.87042005818978</v>
      </c>
      <c r="F43" s="2">
        <v>357.80261283645308</v>
      </c>
    </row>
    <row r="46" spans="1:6" x14ac:dyDescent="0.2">
      <c r="A46" s="11" t="s">
        <v>86</v>
      </c>
      <c r="B46" s="23">
        <f>D23</f>
        <v>158.10513876684735</v>
      </c>
      <c r="C46" s="20">
        <v>6.5000000000000002E-2</v>
      </c>
      <c r="D46" s="19">
        <v>7.0000000000000007E-2</v>
      </c>
      <c r="E46" s="20">
        <v>7.4999999999999997E-2</v>
      </c>
      <c r="F46" s="19">
        <v>0.08</v>
      </c>
    </row>
    <row r="47" spans="1:6" x14ac:dyDescent="0.2">
      <c r="B47" s="19">
        <v>0.01</v>
      </c>
      <c r="C47" s="2">
        <f t="dataTable" ref="C47:F52" dt2D="1" dtr="1" r1="B2" r2="B3" ca="1"/>
        <v>164.59145125929837</v>
      </c>
      <c r="D47" s="2">
        <v>148.58552587561371</v>
      </c>
      <c r="E47" s="2">
        <v>135.04537773326587</v>
      </c>
      <c r="F47" s="2">
        <v>123.44255163797608</v>
      </c>
    </row>
    <row r="48" spans="1:6" x14ac:dyDescent="0.2">
      <c r="B48" s="20">
        <v>1.4999999999999999E-2</v>
      </c>
      <c r="C48" s="2">
        <v>180.15123601629784</v>
      </c>
      <c r="D48" s="2">
        <v>161.31134245331273</v>
      </c>
      <c r="E48" s="2">
        <v>145.61443487365739</v>
      </c>
      <c r="F48" s="2">
        <v>132.33514208879362</v>
      </c>
    </row>
    <row r="49" spans="1:10" x14ac:dyDescent="0.2">
      <c r="B49" s="19">
        <v>0.02</v>
      </c>
      <c r="C49" s="2">
        <v>199.16875071929732</v>
      </c>
      <c r="D49" s="2">
        <v>176.58232234655154</v>
      </c>
      <c r="E49" s="2">
        <v>158.10513876684735</v>
      </c>
      <c r="F49" s="2">
        <v>142.70983094808082</v>
      </c>
    </row>
    <row r="50" spans="1:10" x14ac:dyDescent="0.2">
      <c r="B50" s="20">
        <v>2.5000000000000001E-2</v>
      </c>
      <c r="C50" s="2">
        <v>222.94064409804656</v>
      </c>
      <c r="D50" s="2">
        <v>195.24685332717678</v>
      </c>
      <c r="E50" s="2">
        <v>173.09398343867528</v>
      </c>
      <c r="F50" s="2">
        <v>154.97082687269287</v>
      </c>
    </row>
    <row r="51" spans="1:10" x14ac:dyDescent="0.2">
      <c r="B51" s="19">
        <v>0.03</v>
      </c>
      <c r="C51" s="2">
        <v>253.5045070135813</v>
      </c>
      <c r="D51" s="2">
        <v>218.57751705295826</v>
      </c>
      <c r="E51" s="2">
        <v>191.41368248202053</v>
      </c>
      <c r="F51" s="2">
        <v>169.68402198222734</v>
      </c>
    </row>
    <row r="52" spans="1:10" x14ac:dyDescent="0.2">
      <c r="B52" s="20">
        <v>3.5000000000000003E-2</v>
      </c>
      <c r="C52" s="2">
        <v>294.25632423429437</v>
      </c>
      <c r="D52" s="2">
        <v>248.57408470039169</v>
      </c>
      <c r="E52" s="2">
        <v>214.31330628620213</v>
      </c>
      <c r="F52" s="2">
        <v>187.66681600499174</v>
      </c>
    </row>
    <row r="55" spans="1:10" ht="16" x14ac:dyDescent="0.2">
      <c r="A55" s="24" t="s">
        <v>111</v>
      </c>
      <c r="B55" s="24"/>
      <c r="C55" s="24"/>
      <c r="D55" s="24"/>
      <c r="E55" s="24"/>
      <c r="F55" s="24"/>
    </row>
    <row r="56" spans="1:10" x14ac:dyDescent="0.2">
      <c r="A56" s="11"/>
      <c r="B56" t="s">
        <v>55</v>
      </c>
      <c r="C56" t="s">
        <v>92</v>
      </c>
      <c r="D56" t="s">
        <v>94</v>
      </c>
      <c r="E56" t="s">
        <v>93</v>
      </c>
      <c r="H56" s="11" t="s">
        <v>112</v>
      </c>
      <c r="I56" s="11" t="s">
        <v>92</v>
      </c>
      <c r="J56" s="11" t="s">
        <v>48</v>
      </c>
    </row>
    <row r="57" spans="1:10" x14ac:dyDescent="0.2">
      <c r="A57" t="s">
        <v>88</v>
      </c>
      <c r="B57" s="7">
        <f>B22</f>
        <v>29996.64261177052</v>
      </c>
      <c r="C57" s="7">
        <f>B23</f>
        <v>229.89456324165022</v>
      </c>
      <c r="D57" s="2">
        <v>286.89</v>
      </c>
      <c r="E57">
        <f>($C57-$D57)/$D57</f>
        <v>-0.19866651594112647</v>
      </c>
      <c r="H57" t="s">
        <v>88</v>
      </c>
      <c r="I57" s="7">
        <f>C57</f>
        <v>229.89456324165022</v>
      </c>
      <c r="J57" s="7">
        <f>D57</f>
        <v>286.89</v>
      </c>
    </row>
    <row r="58" spans="1:10" x14ac:dyDescent="0.2">
      <c r="A58" t="s">
        <v>90</v>
      </c>
      <c r="B58" s="7">
        <f>C22</f>
        <v>39558.630909571155</v>
      </c>
      <c r="C58" s="7">
        <f>C23</f>
        <v>303.17773535845464</v>
      </c>
      <c r="D58" s="2">
        <v>286.89</v>
      </c>
      <c r="E58">
        <f t="shared" ref="E58" si="3">($C58-$D58)/$D58</f>
        <v>5.677345100371102E-2</v>
      </c>
      <c r="H58" t="s">
        <v>90</v>
      </c>
      <c r="I58" s="7">
        <f>C58</f>
        <v>303.17773535845464</v>
      </c>
      <c r="J58" s="7">
        <f t="shared" ref="J58:J62" si="4">D58</f>
        <v>286.89</v>
      </c>
    </row>
    <row r="59" spans="1:10" x14ac:dyDescent="0.2">
      <c r="A59" t="s">
        <v>89</v>
      </c>
      <c r="B59" s="7">
        <f>D22</f>
        <v>20629.558506298239</v>
      </c>
      <c r="C59" s="7">
        <f>D23</f>
        <v>158.10513876684735</v>
      </c>
      <c r="D59" s="2">
        <v>286.89</v>
      </c>
      <c r="E59">
        <f>($C59-$D59)/$D59</f>
        <v>-0.44889979167329863</v>
      </c>
      <c r="H59" t="s">
        <v>89</v>
      </c>
      <c r="I59" s="7">
        <f>C59</f>
        <v>158.10513876684735</v>
      </c>
      <c r="J59" s="7">
        <f t="shared" si="4"/>
        <v>286.89</v>
      </c>
    </row>
    <row r="60" spans="1:10" x14ac:dyDescent="0.2">
      <c r="A60" t="s">
        <v>95</v>
      </c>
      <c r="B60" s="2">
        <f>B73</f>
        <v>31608.642799999998</v>
      </c>
      <c r="C60" s="2">
        <f>B75</f>
        <v>242.24894849785409</v>
      </c>
      <c r="D60" s="2">
        <v>286.89</v>
      </c>
      <c r="E60">
        <f t="shared" ref="E60:E61" si="5">($C60-$D60)/$D60</f>
        <v>-0.15560337238016628</v>
      </c>
      <c r="H60" t="s">
        <v>95</v>
      </c>
      <c r="I60" s="2">
        <f>C60</f>
        <v>242.24894849785409</v>
      </c>
      <c r="J60" s="7">
        <f t="shared" si="4"/>
        <v>286.89</v>
      </c>
    </row>
    <row r="61" spans="1:10" x14ac:dyDescent="0.2">
      <c r="A61" t="s">
        <v>96</v>
      </c>
      <c r="C61" s="2">
        <f>D72</f>
        <v>262.82714209074186</v>
      </c>
      <c r="D61" s="2">
        <v>286.89</v>
      </c>
      <c r="E61">
        <f t="shared" si="5"/>
        <v>-8.387485764320167E-2</v>
      </c>
      <c r="H61" t="s">
        <v>96</v>
      </c>
      <c r="I61" s="2">
        <f>C61</f>
        <v>262.82714209074186</v>
      </c>
      <c r="J61" s="7">
        <f t="shared" si="4"/>
        <v>286.89</v>
      </c>
    </row>
    <row r="62" spans="1:10" x14ac:dyDescent="0.2">
      <c r="H62" t="s">
        <v>91</v>
      </c>
      <c r="I62" s="2">
        <v>252.54</v>
      </c>
      <c r="J62" s="7">
        <f>D61</f>
        <v>286.89</v>
      </c>
    </row>
    <row r="64" spans="1:10" ht="16" x14ac:dyDescent="0.2">
      <c r="A64" s="24" t="s">
        <v>98</v>
      </c>
      <c r="B64" s="24"/>
      <c r="C64" s="24"/>
      <c r="D64" s="24"/>
      <c r="E64" s="24"/>
      <c r="F64" s="24"/>
    </row>
    <row r="65" spans="1:4" x14ac:dyDescent="0.2">
      <c r="A65" s="11" t="s">
        <v>95</v>
      </c>
      <c r="B65" s="25">
        <v>15.47</v>
      </c>
    </row>
    <row r="66" spans="1:4" x14ac:dyDescent="0.2">
      <c r="A66" s="11" t="s">
        <v>96</v>
      </c>
      <c r="B66" s="25">
        <v>22.65</v>
      </c>
    </row>
    <row r="68" spans="1:4" x14ac:dyDescent="0.2">
      <c r="A68" s="11" t="s">
        <v>106</v>
      </c>
      <c r="C68" s="11" t="s">
        <v>105</v>
      </c>
    </row>
    <row r="69" spans="1:4" x14ac:dyDescent="0.2">
      <c r="A69" t="s">
        <v>99</v>
      </c>
      <c r="B69" s="3">
        <f>B65*2279.24</f>
        <v>35259.842799999999</v>
      </c>
      <c r="C69" s="13" t="s">
        <v>108</v>
      </c>
      <c r="D69">
        <v>1514.07</v>
      </c>
    </row>
    <row r="70" spans="1:4" x14ac:dyDescent="0.2">
      <c r="A70" t="s">
        <v>100</v>
      </c>
      <c r="B70">
        <f>4083.8</f>
        <v>4083.8</v>
      </c>
      <c r="C70" t="s">
        <v>107</v>
      </c>
      <c r="D70">
        <v>2018.76</v>
      </c>
    </row>
    <row r="71" spans="1:4" x14ac:dyDescent="0.2">
      <c r="A71" t="s">
        <v>102</v>
      </c>
      <c r="B71">
        <f>432.6</f>
        <v>432.6</v>
      </c>
      <c r="C71" t="s">
        <v>109</v>
      </c>
      <c r="D71" s="3">
        <f>D69/B74</f>
        <v>11.603847332924586</v>
      </c>
    </row>
    <row r="72" spans="1:4" x14ac:dyDescent="0.2">
      <c r="A72" t="s">
        <v>101</v>
      </c>
      <c r="B72">
        <f>B70-B71</f>
        <v>3651.2000000000003</v>
      </c>
      <c r="C72" t="s">
        <v>110</v>
      </c>
      <c r="D72" s="26">
        <f>D71*B66</f>
        <v>262.82714209074186</v>
      </c>
    </row>
    <row r="73" spans="1:4" x14ac:dyDescent="0.2">
      <c r="A73" t="s">
        <v>97</v>
      </c>
      <c r="B73" s="3">
        <f>B69-B72</f>
        <v>31608.642799999998</v>
      </c>
    </row>
    <row r="74" spans="1:4" x14ac:dyDescent="0.2">
      <c r="A74" t="s">
        <v>104</v>
      </c>
      <c r="B74">
        <v>130.47999999999999</v>
      </c>
    </row>
    <row r="75" spans="1:4" x14ac:dyDescent="0.2">
      <c r="A75" t="s">
        <v>103</v>
      </c>
      <c r="B75" s="26">
        <f>B73/B74</f>
        <v>242.24894849785409</v>
      </c>
    </row>
    <row r="77" spans="1:4" x14ac:dyDescent="0.2">
      <c r="B77" s="11" t="s">
        <v>91</v>
      </c>
      <c r="C77" s="3">
        <f>(B75+D72)/2</f>
        <v>252.53804529429797</v>
      </c>
    </row>
  </sheetData>
  <mergeCells count="4">
    <mergeCell ref="C26:F26"/>
    <mergeCell ref="A25:F25"/>
    <mergeCell ref="A64:F64"/>
    <mergeCell ref="A55:F5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18.83203125" bestFit="1" customWidth="1"/>
    <col min="2" max="2" width="14" customWidth="1"/>
    <col min="3" max="3" width="18" customWidth="1"/>
    <col min="4" max="4" width="14" customWidth="1"/>
  </cols>
  <sheetData>
    <row r="1" spans="1:4" x14ac:dyDescent="0.2">
      <c r="A1" s="1" t="s">
        <v>57</v>
      </c>
      <c r="B1" s="1" t="s">
        <v>58</v>
      </c>
      <c r="C1" s="1" t="s">
        <v>59</v>
      </c>
      <c r="D1" s="1" t="s">
        <v>60</v>
      </c>
    </row>
    <row r="2" spans="1:4" x14ac:dyDescent="0.2">
      <c r="A2" t="s">
        <v>61</v>
      </c>
      <c r="B2" t="s">
        <v>62</v>
      </c>
      <c r="C2">
        <v>14.2</v>
      </c>
      <c r="D2">
        <v>21.55</v>
      </c>
    </row>
    <row r="3" spans="1:4" x14ac:dyDescent="0.2">
      <c r="A3" t="s">
        <v>63</v>
      </c>
      <c r="B3" t="s">
        <v>64</v>
      </c>
      <c r="C3">
        <v>19.36</v>
      </c>
      <c r="D3">
        <v>24.88</v>
      </c>
    </row>
    <row r="4" spans="1:4" x14ac:dyDescent="0.2">
      <c r="A4" t="s">
        <v>65</v>
      </c>
      <c r="B4" t="s">
        <v>66</v>
      </c>
      <c r="C4">
        <v>16.739999999999998</v>
      </c>
      <c r="D4">
        <v>20.88</v>
      </c>
    </row>
    <row r="5" spans="1:4" x14ac:dyDescent="0.2">
      <c r="A5" t="s">
        <v>67</v>
      </c>
      <c r="B5" t="s">
        <v>68</v>
      </c>
      <c r="C5">
        <v>9.19</v>
      </c>
      <c r="D5">
        <v>13.14</v>
      </c>
    </row>
    <row r="6" spans="1:4" x14ac:dyDescent="0.2">
      <c r="A6" t="s">
        <v>69</v>
      </c>
      <c r="B6" t="s">
        <v>70</v>
      </c>
      <c r="C6">
        <v>23.56</v>
      </c>
      <c r="D6">
        <v>23.75</v>
      </c>
    </row>
    <row r="7" spans="1:4" x14ac:dyDescent="0.2">
      <c r="A7" t="s">
        <v>71</v>
      </c>
      <c r="B7" t="s">
        <v>72</v>
      </c>
      <c r="C7">
        <v>5.01</v>
      </c>
      <c r="D7">
        <v>25.45</v>
      </c>
    </row>
    <row r="10" spans="1:4" x14ac:dyDescent="0.2">
      <c r="A10" t="s">
        <v>73</v>
      </c>
      <c r="B10">
        <f>MEDIAN(C2:C7)</f>
        <v>15.469999999999999</v>
      </c>
    </row>
    <row r="11" spans="1:4" x14ac:dyDescent="0.2">
      <c r="A11" t="s">
        <v>74</v>
      </c>
      <c r="B11">
        <f>MEDIAN(D2:D7)</f>
        <v>22.65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History</vt:lpstr>
      <vt:lpstr>Forecast</vt:lpstr>
      <vt:lpstr>DCF</vt:lpstr>
      <vt:lpstr>Comparable Company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Wang</cp:lastModifiedBy>
  <dcterms:created xsi:type="dcterms:W3CDTF">2025-09-14T23:29:03Z</dcterms:created>
  <dcterms:modified xsi:type="dcterms:W3CDTF">2025-09-16T06:30:39Z</dcterms:modified>
</cp:coreProperties>
</file>